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384606F-4EF2-4034-BFEC-EE7C1024883B}" xr6:coauthVersionLast="47" xr6:coauthVersionMax="47" xr10:uidLastSave="{00000000-0000-0000-0000-000000000000}"/>
  <bookViews>
    <workbookView xWindow="8270" yWindow="1570" windowWidth="6970" windowHeight="7270" tabRatio="958" activeTab="1" xr2:uid="{FD4FC439-1B23-4C40-ADDA-B3E3A0DC7633}"/>
  </bookViews>
  <sheets>
    <sheet name="Resumen Participantes" sheetId="7" r:id="rId1"/>
    <sheet name="Atl-Fml-5-kms-1a" sheetId="1" r:id="rId2"/>
    <sheet name="Atl-Fml-5-kms-2a" sheetId="9" r:id="rId3"/>
    <sheet name="Atl-Fml-10-kms-1a" sheetId="4" r:id="rId4"/>
    <sheet name="Atl-Fml-10-kms-2a" sheetId="11" r:id="rId5"/>
    <sheet name="Atl-Vnl-5-kms-1a" sheetId="5" r:id="rId6"/>
    <sheet name="Atl-Vnl-5-kms-2a" sheetId="10" r:id="rId7"/>
    <sheet name="Atl-Vnl-10-kms-1a" sheetId="6" r:id="rId8"/>
    <sheet name="Atl-Vnl-10-kms-2a" sheetId="13" r:id="rId9"/>
    <sheet name="R PLayera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3" i="13" l="1"/>
  <c r="R63" i="13"/>
  <c r="Q63" i="13"/>
  <c r="P63" i="13"/>
  <c r="I63" i="13" s="1"/>
  <c r="C21" i="7" s="1"/>
  <c r="O63" i="13"/>
  <c r="S21" i="11"/>
  <c r="R21" i="11"/>
  <c r="Q21" i="11"/>
  <c r="P21" i="11"/>
  <c r="O21" i="11"/>
  <c r="S138" i="10"/>
  <c r="R138" i="10"/>
  <c r="Q138" i="10"/>
  <c r="P138" i="10"/>
  <c r="O138" i="10"/>
  <c r="I21" i="11" l="1"/>
  <c r="C18" i="7" s="1"/>
  <c r="G138" i="10"/>
  <c r="C15" i="7" s="1"/>
  <c r="S70" i="9" l="1"/>
  <c r="R70" i="9"/>
  <c r="Q70" i="9"/>
  <c r="P70" i="9"/>
  <c r="O70" i="9"/>
  <c r="S147" i="6"/>
  <c r="R147" i="6"/>
  <c r="Q147" i="6"/>
  <c r="P147" i="6"/>
  <c r="O147" i="6"/>
  <c r="S79" i="4"/>
  <c r="R79" i="4"/>
  <c r="Q79" i="4"/>
  <c r="P79" i="4"/>
  <c r="O79" i="4"/>
  <c r="S277" i="5"/>
  <c r="R277" i="5"/>
  <c r="Q277" i="5"/>
  <c r="P277" i="5"/>
  <c r="O277" i="5"/>
  <c r="S345" i="1"/>
  <c r="R345" i="1"/>
  <c r="Q345" i="1"/>
  <c r="P345" i="1"/>
  <c r="O345" i="1"/>
  <c r="E5" i="8" l="1"/>
  <c r="B5" i="8"/>
  <c r="G70" i="9"/>
  <c r="C12" i="7" s="1"/>
  <c r="D5" i="8"/>
  <c r="C5" i="8"/>
  <c r="A5" i="8"/>
  <c r="G277" i="5"/>
  <c r="G345" i="1"/>
  <c r="C11" i="7" s="1"/>
  <c r="I147" i="6"/>
  <c r="C20" i="7" s="1"/>
  <c r="G79" i="4"/>
  <c r="C17" i="7" s="1"/>
  <c r="C14" i="7"/>
  <c r="A7" i="8" l="1"/>
  <c r="C24" i="7"/>
</calcChain>
</file>

<file path=xl/sharedStrings.xml><?xml version="1.0" encoding="utf-8"?>
<sst xmlns="http://schemas.openxmlformats.org/spreadsheetml/2006/main" count="6376" uniqueCount="2231">
  <si>
    <t>Nombre</t>
  </si>
  <si>
    <t>Apellido Paterno</t>
  </si>
  <si>
    <t>Apellido Materno</t>
  </si>
  <si>
    <t>Edad</t>
  </si>
  <si>
    <t>Sexo</t>
  </si>
  <si>
    <t>Talla de Playera</t>
  </si>
  <si>
    <t>No.</t>
  </si>
  <si>
    <t>No. Concursante</t>
  </si>
  <si>
    <t>Firma Recibido</t>
  </si>
  <si>
    <t>7/o Aniversario Magnas Obras</t>
  </si>
  <si>
    <t>Agrupamiento de Ingenieros</t>
  </si>
  <si>
    <t>"Felipe Angeles"</t>
  </si>
  <si>
    <t>A  T  L  E  T  I  S  M  O     F  E  M  E  N  I  L     " 5   K  m  s. "</t>
  </si>
  <si>
    <t>A  T  L  E  T  I  S  M  O     F  E  M  E  N  I  L     " 1 0   K  m  s. "</t>
  </si>
  <si>
    <t>A  T  L  E  T  I  S  M  O     V  A  R  O  N  I  L     " 5   K  m  s. "</t>
  </si>
  <si>
    <t>Banco</t>
  </si>
  <si>
    <t>Referencia</t>
  </si>
  <si>
    <t>Importe</t>
  </si>
  <si>
    <t>1  8     a     3  5     A  Ñ  O  S</t>
  </si>
  <si>
    <t>3  6     A  Ñ  O  S     E  N     A  D  E  L  A  N  T  E</t>
  </si>
  <si>
    <t>MARISOL</t>
  </si>
  <si>
    <t>CASTRO</t>
  </si>
  <si>
    <t xml:space="preserve">CANO </t>
  </si>
  <si>
    <t>FEMENINO</t>
  </si>
  <si>
    <t>MEDIANA</t>
  </si>
  <si>
    <t>AZTECA</t>
  </si>
  <si>
    <t>MARIA DE LOURDES</t>
  </si>
  <si>
    <t>GUTIERREZ</t>
  </si>
  <si>
    <t>LUNA</t>
  </si>
  <si>
    <t>CHICA</t>
  </si>
  <si>
    <t>BBVA</t>
  </si>
  <si>
    <t>Referencia o Folio</t>
  </si>
  <si>
    <t>SAID</t>
  </si>
  <si>
    <t>PIOQUINTO</t>
  </si>
  <si>
    <t>VARGAS</t>
  </si>
  <si>
    <t>MASCULINO</t>
  </si>
  <si>
    <t>GRANDE</t>
  </si>
  <si>
    <t>A  T  L  E  T  I  S  M  O     V  A  R  O  N  I  L     " 1  0   K  m  s. "</t>
  </si>
  <si>
    <t>SOFIA ISABEL</t>
  </si>
  <si>
    <t xml:space="preserve">YEPEZ </t>
  </si>
  <si>
    <t>MENESES</t>
  </si>
  <si>
    <t>EFECTIVO</t>
  </si>
  <si>
    <t>MIRIAM LUCERO</t>
  </si>
  <si>
    <t>VAZQUEZ</t>
  </si>
  <si>
    <t>DE LEON</t>
  </si>
  <si>
    <t>JOSE LUIS</t>
  </si>
  <si>
    <t>CAMACHO</t>
  </si>
  <si>
    <t>CAZAREZ</t>
  </si>
  <si>
    <t>MERCADO PAGO</t>
  </si>
  <si>
    <t>SANTA GUADALUPE</t>
  </si>
  <si>
    <t>ESTEVEZ</t>
  </si>
  <si>
    <t>RESENDIZ</t>
  </si>
  <si>
    <t>ALEX JAIR</t>
  </si>
  <si>
    <t>SOLIS</t>
  </si>
  <si>
    <t>VILLA</t>
  </si>
  <si>
    <t>CONCURSANTES</t>
  </si>
  <si>
    <t>VERONICA</t>
  </si>
  <si>
    <t xml:space="preserve">TOVAR </t>
  </si>
  <si>
    <t>JESUS OMAR</t>
  </si>
  <si>
    <t>JUAREZ</t>
  </si>
  <si>
    <t>TOVAR</t>
  </si>
  <si>
    <t>ZAMORA</t>
  </si>
  <si>
    <t>SANTANA</t>
  </si>
  <si>
    <t>JOSÉ JULIÁN</t>
  </si>
  <si>
    <t>EXTRA GRANDE</t>
  </si>
  <si>
    <t>XXL</t>
  </si>
  <si>
    <t>EXTRA G.</t>
  </si>
  <si>
    <t>BANAMEX</t>
  </si>
  <si>
    <t>HSBC</t>
  </si>
  <si>
    <t>ATLETISMO FEMENIL 5 Kms. (18 a 35 Años)</t>
  </si>
  <si>
    <t>ATLETISMO FEMENIL 5 Kms. (36 Años) en adelante</t>
  </si>
  <si>
    <t>ATLETISMO VARONIL 5 Kms. (18 a 35 Años)</t>
  </si>
  <si>
    <t>ATLETISMO VARONIL 5 Kms. (36 Años) en adelante</t>
  </si>
  <si>
    <t>ATLETISMO FEMENIL 10 Kms. (18 a 35 Años)</t>
  </si>
  <si>
    <t>ATLETISMO FEMENIL 10 Kms. (36 Años) en adelante</t>
  </si>
  <si>
    <t>ATLETISMO VARONIL 10 Kms. (18 a 35 Años)</t>
  </si>
  <si>
    <t>ATLETISMO VARONIL 10 Kms. (36 Años) en adelante</t>
  </si>
  <si>
    <t>Participantes</t>
  </si>
  <si>
    <t>Categorias</t>
  </si>
  <si>
    <t xml:space="preserve">Total de Participantes </t>
  </si>
  <si>
    <t>RESUMEN PARTICIPANTES CARRERA DEPORTIVA</t>
  </si>
  <si>
    <t>SPIN</t>
  </si>
  <si>
    <t>MERCADO P.</t>
  </si>
  <si>
    <t>BANCOPPEL</t>
  </si>
  <si>
    <t>EVA MARIA</t>
  </si>
  <si>
    <t>RAMIREZ</t>
  </si>
  <si>
    <t>PEREZ</t>
  </si>
  <si>
    <t>ROXANA</t>
  </si>
  <si>
    <t>AGUILAR</t>
  </si>
  <si>
    <t>AVENDAÑO</t>
  </si>
  <si>
    <t>LAURA DANIELA</t>
  </si>
  <si>
    <t>HERNANDEZ</t>
  </si>
  <si>
    <t>MACIAS</t>
  </si>
  <si>
    <t>DULCE MARIANA</t>
  </si>
  <si>
    <t>LIMA</t>
  </si>
  <si>
    <t>ERIKA</t>
  </si>
  <si>
    <t>TORRES</t>
  </si>
  <si>
    <t>MARQUES</t>
  </si>
  <si>
    <t>STEPHANIE</t>
  </si>
  <si>
    <t>VELAZQUEZ</t>
  </si>
  <si>
    <t>ROMERO</t>
  </si>
  <si>
    <t>ARIZA</t>
  </si>
  <si>
    <t>LILIANA</t>
  </si>
  <si>
    <t>INGRID YAMILE</t>
  </si>
  <si>
    <t>CHAVEZ</t>
  </si>
  <si>
    <t>MARIA JOSE</t>
  </si>
  <si>
    <t>ANGELES</t>
  </si>
  <si>
    <t xml:space="preserve">ANGELES </t>
  </si>
  <si>
    <t>DULCE NOELIA</t>
  </si>
  <si>
    <t>FLORES</t>
  </si>
  <si>
    <t>KAREN LIZBETH</t>
  </si>
  <si>
    <t>HERNÁNDEZ</t>
  </si>
  <si>
    <t>TENORIO</t>
  </si>
  <si>
    <t>YAZMIN</t>
  </si>
  <si>
    <t xml:space="preserve">COVARRUBIAS </t>
  </si>
  <si>
    <t>MAYRA JOCELIN</t>
  </si>
  <si>
    <t>MENDIETA</t>
  </si>
  <si>
    <t>VISTRAIN</t>
  </si>
  <si>
    <t>JESSICA</t>
  </si>
  <si>
    <t>GALINDO</t>
  </si>
  <si>
    <t>ROSALES</t>
  </si>
  <si>
    <t>MAGADALENA</t>
  </si>
  <si>
    <t>SOSA</t>
  </si>
  <si>
    <t>ZANCHEZ</t>
  </si>
  <si>
    <t xml:space="preserve">BETSY NAYELY </t>
  </si>
  <si>
    <t>VIGUERAS</t>
  </si>
  <si>
    <t>REYES</t>
  </si>
  <si>
    <t xml:space="preserve">YURI JAZMIN </t>
  </si>
  <si>
    <t>SEBASTIAN</t>
  </si>
  <si>
    <t>VICENCIO</t>
  </si>
  <si>
    <t>MIGUEL DE JESÚS</t>
  </si>
  <si>
    <t>ROBLERO</t>
  </si>
  <si>
    <t>CANCINO</t>
  </si>
  <si>
    <t>CARLOS DANIEL</t>
  </si>
  <si>
    <t>CORTES</t>
  </si>
  <si>
    <t>JIMENEZ.</t>
  </si>
  <si>
    <t>JOSE JUAN</t>
  </si>
  <si>
    <t>GONZALEZ</t>
  </si>
  <si>
    <t>VERA</t>
  </si>
  <si>
    <t>ERIK ALEJANDRO</t>
  </si>
  <si>
    <t>NOYOLA</t>
  </si>
  <si>
    <t>GARCIA.</t>
  </si>
  <si>
    <t>BRIAN RAFAEL</t>
  </si>
  <si>
    <t>RODRIGUEZ</t>
  </si>
  <si>
    <t>FRANCO.</t>
  </si>
  <si>
    <t>CANO</t>
  </si>
  <si>
    <t>PEÑA</t>
  </si>
  <si>
    <t>ROGELIO</t>
  </si>
  <si>
    <t>MIGUEL ANGEL</t>
  </si>
  <si>
    <t>URBINA</t>
  </si>
  <si>
    <t>YATA</t>
  </si>
  <si>
    <t>ABRAHAM OSWALDO</t>
  </si>
  <si>
    <t>JACIEL ISACK</t>
  </si>
  <si>
    <t>DELGADO</t>
  </si>
  <si>
    <t>SILVA</t>
  </si>
  <si>
    <t>JOSÉ CARLOS</t>
  </si>
  <si>
    <t>SALINAS</t>
  </si>
  <si>
    <t>ROJAS</t>
  </si>
  <si>
    <t>FRANCISCO JAVIER</t>
  </si>
  <si>
    <t>CANDANEDO</t>
  </si>
  <si>
    <t>ALVAREZ</t>
  </si>
  <si>
    <t>DAVID ZARATE GUZMAN</t>
  </si>
  <si>
    <t>ZARATE</t>
  </si>
  <si>
    <t>GUZMAN</t>
  </si>
  <si>
    <t>ISRAEL</t>
  </si>
  <si>
    <t>MARIO ALEJANDRO</t>
  </si>
  <si>
    <t>GARCIA</t>
  </si>
  <si>
    <t>FERNANDO</t>
  </si>
  <si>
    <t>JERÓNIMO</t>
  </si>
  <si>
    <t>ACHIQUEN</t>
  </si>
  <si>
    <t>ESCOBEDO</t>
  </si>
  <si>
    <t>OCTAVIO</t>
  </si>
  <si>
    <t>GARDUÑO</t>
  </si>
  <si>
    <t xml:space="preserve">CESAR </t>
  </si>
  <si>
    <t>VEGA</t>
  </si>
  <si>
    <t xml:space="preserve">ALONDRA LETICIA </t>
  </si>
  <si>
    <t>BARAJAS</t>
  </si>
  <si>
    <t>RAMÍREZ</t>
  </si>
  <si>
    <t xml:space="preserve">LUCERO </t>
  </si>
  <si>
    <t>MEDINA</t>
  </si>
  <si>
    <t xml:space="preserve">ARTEMIO </t>
  </si>
  <si>
    <t>MÁRQUEZ</t>
  </si>
  <si>
    <t xml:space="preserve">ANGEL EMMANUEL </t>
  </si>
  <si>
    <t>ESTRELLA</t>
  </si>
  <si>
    <t>RAJÓN</t>
  </si>
  <si>
    <t xml:space="preserve">ERICK FAUSTINO </t>
  </si>
  <si>
    <t>SÁNCHEZ</t>
  </si>
  <si>
    <t>OCHOA</t>
  </si>
  <si>
    <t xml:space="preserve">YESSICA ABRIL </t>
  </si>
  <si>
    <t>RUIZ</t>
  </si>
  <si>
    <t xml:space="preserve">CARLOS ALBERTO </t>
  </si>
  <si>
    <t xml:space="preserve">MIX </t>
  </si>
  <si>
    <t>ZAPATA</t>
  </si>
  <si>
    <t xml:space="preserve">ERNESTO DANIEL </t>
  </si>
  <si>
    <t xml:space="preserve">ROMERO </t>
  </si>
  <si>
    <t>CASTILLO</t>
  </si>
  <si>
    <t xml:space="preserve">JOVANA ORQUÍDEA </t>
  </si>
  <si>
    <t xml:space="preserve">ABRAHAM </t>
  </si>
  <si>
    <t xml:space="preserve">SANCHEZ </t>
  </si>
  <si>
    <t>RIVERA</t>
  </si>
  <si>
    <t>GONZÁLEZ</t>
  </si>
  <si>
    <t>GARCÍA</t>
  </si>
  <si>
    <t>BRENDA YEDIDA</t>
  </si>
  <si>
    <t>MARTINEZ</t>
  </si>
  <si>
    <t>CUECUECHA</t>
  </si>
  <si>
    <t>OSWALDO</t>
  </si>
  <si>
    <t>OSORIO</t>
  </si>
  <si>
    <t>PEÑAFLOR</t>
  </si>
  <si>
    <t>ISRAEL AYRTON</t>
  </si>
  <si>
    <t xml:space="preserve">BAUTISTA </t>
  </si>
  <si>
    <t>ANDRADE</t>
  </si>
  <si>
    <t>ISMAEL</t>
  </si>
  <si>
    <t xml:space="preserve">GARCÍA </t>
  </si>
  <si>
    <t xml:space="preserve">JOSÉ EDUARDO </t>
  </si>
  <si>
    <t>MENDOZA</t>
  </si>
  <si>
    <t>MENA</t>
  </si>
  <si>
    <t>SANTANDER</t>
  </si>
  <si>
    <t xml:space="preserve">GUADALUPE ITZEL </t>
  </si>
  <si>
    <t>PACHECO</t>
  </si>
  <si>
    <t>ANEL</t>
  </si>
  <si>
    <t xml:space="preserve">SAUL </t>
  </si>
  <si>
    <t>CASTÁN</t>
  </si>
  <si>
    <t>MORALES</t>
  </si>
  <si>
    <t>MONTES DE OCA</t>
  </si>
  <si>
    <t>JONATHAN</t>
  </si>
  <si>
    <t xml:space="preserve"> ESTRADA </t>
  </si>
  <si>
    <t xml:space="preserve">JOSE CARLOS </t>
  </si>
  <si>
    <t>MARTÍNEZ</t>
  </si>
  <si>
    <t>PÉREZ</t>
  </si>
  <si>
    <t xml:space="preserve">ALEJANDRA </t>
  </si>
  <si>
    <t>MAYORGA</t>
  </si>
  <si>
    <t xml:space="preserve">MARÍA TERESA </t>
  </si>
  <si>
    <t xml:space="preserve">DE BOQUE </t>
  </si>
  <si>
    <t>BERNAL</t>
  </si>
  <si>
    <t xml:space="preserve">SANDRA KARINA </t>
  </si>
  <si>
    <t>MENDEZ</t>
  </si>
  <si>
    <t>GUADALUPE</t>
  </si>
  <si>
    <t>FELIX</t>
  </si>
  <si>
    <t>ESTRADA</t>
  </si>
  <si>
    <t xml:space="preserve">Vanessa Noemi </t>
  </si>
  <si>
    <t>Cabrera</t>
  </si>
  <si>
    <t>Nava</t>
  </si>
  <si>
    <t>Hilda Abigail</t>
  </si>
  <si>
    <t>Ibarra</t>
  </si>
  <si>
    <t>Reyes</t>
  </si>
  <si>
    <t>Karina Vianey</t>
  </si>
  <si>
    <t>Campos</t>
  </si>
  <si>
    <t>Salgado</t>
  </si>
  <si>
    <t xml:space="preserve">MEDIANA </t>
  </si>
  <si>
    <t>NU</t>
  </si>
  <si>
    <t>Palomino</t>
  </si>
  <si>
    <t>Flores</t>
  </si>
  <si>
    <t>Jazmin Areli</t>
  </si>
  <si>
    <t>Carlos Enrique</t>
  </si>
  <si>
    <t>Hernández</t>
  </si>
  <si>
    <t>Serna</t>
  </si>
  <si>
    <t>Masculino</t>
  </si>
  <si>
    <t>Luis Antonio</t>
  </si>
  <si>
    <t>Sánchez</t>
  </si>
  <si>
    <t>Torres</t>
  </si>
  <si>
    <t>Luis Ricardo</t>
  </si>
  <si>
    <t>Rivera</t>
  </si>
  <si>
    <t>Albert</t>
  </si>
  <si>
    <t>Ramirez</t>
  </si>
  <si>
    <t>Riras</t>
  </si>
  <si>
    <t>Depósito OXXO</t>
  </si>
  <si>
    <t>Aguilar</t>
  </si>
  <si>
    <t>Pérez</t>
  </si>
  <si>
    <t>María Fernanda</t>
  </si>
  <si>
    <t>Vázquez</t>
  </si>
  <si>
    <t>Maceda</t>
  </si>
  <si>
    <t>Jennifer Delfina</t>
  </si>
  <si>
    <t>Gómez</t>
  </si>
  <si>
    <t>Gerardo</t>
  </si>
  <si>
    <t>Rodriguez</t>
  </si>
  <si>
    <t>Avilés</t>
  </si>
  <si>
    <t>Samuel</t>
  </si>
  <si>
    <t>Valadez</t>
  </si>
  <si>
    <t>Benhur Roberto</t>
  </si>
  <si>
    <t>Éboli</t>
  </si>
  <si>
    <t>Román</t>
  </si>
  <si>
    <t>Héctor Abraham</t>
  </si>
  <si>
    <t>Arias</t>
  </si>
  <si>
    <t>Bautista</t>
  </si>
  <si>
    <t>Jafet Aldair</t>
  </si>
  <si>
    <t xml:space="preserve">Bustor </t>
  </si>
  <si>
    <t>Francisco Javier</t>
  </si>
  <si>
    <t>Miranda</t>
  </si>
  <si>
    <t>Ixta</t>
  </si>
  <si>
    <t>Idar</t>
  </si>
  <si>
    <t>Alexis</t>
  </si>
  <si>
    <t>Martínez</t>
  </si>
  <si>
    <t>Luis Jesus Joatan</t>
  </si>
  <si>
    <t>Leon</t>
  </si>
  <si>
    <t>Angeles</t>
  </si>
  <si>
    <t>Francisco</t>
  </si>
  <si>
    <t>Olguín</t>
  </si>
  <si>
    <t>Holguín</t>
  </si>
  <si>
    <t>NU3AMRD3UIPE9H6P12R1PAP5CDK0</t>
  </si>
  <si>
    <t>Cristian Iván</t>
  </si>
  <si>
    <t>Coronel</t>
  </si>
  <si>
    <t>NU3AMRC2ILE29QQ93F7F6R0M114P</t>
  </si>
  <si>
    <t>Ivan Noe</t>
  </si>
  <si>
    <t>Mardoniz</t>
  </si>
  <si>
    <t>Gutiérrez</t>
  </si>
  <si>
    <t>MARCO ANTONIO</t>
  </si>
  <si>
    <t>LÓPEZ</t>
  </si>
  <si>
    <t>JULIO EDUARDO</t>
  </si>
  <si>
    <t>VILLALBA</t>
  </si>
  <si>
    <t>Mercado Pago</t>
  </si>
  <si>
    <t>ERWIN</t>
  </si>
  <si>
    <t>FERNÁNDEZ</t>
  </si>
  <si>
    <t>50118163TRANSBPI79145346</t>
  </si>
  <si>
    <t>MESA INGENIERÍA ELÉCTRICA Y EQUIPAMIENTO INDUSTRIAL</t>
  </si>
  <si>
    <t>MESA ATN. AUDS. INTS. Y EXTS.</t>
  </si>
  <si>
    <t>FRENTE MÉX-QRO-FRENTE 1</t>
  </si>
  <si>
    <t>Area o Frente</t>
  </si>
  <si>
    <t>EDGAR DANIEL</t>
  </si>
  <si>
    <t>CERVANTES</t>
  </si>
  <si>
    <t xml:space="preserve">EDGAR  </t>
  </si>
  <si>
    <t>50111670TRANSBPI79914246</t>
  </si>
  <si>
    <t>ERIK</t>
  </si>
  <si>
    <t>50111670TRANSBPI79822866</t>
  </si>
  <si>
    <t>FERNANDA</t>
  </si>
  <si>
    <t>RANGEL</t>
  </si>
  <si>
    <t>50111670TRANSBPI79869616</t>
  </si>
  <si>
    <t>VIOLETA LILIANA</t>
  </si>
  <si>
    <t>GÓMEZ</t>
  </si>
  <si>
    <t>MARTHA JACQUELINE</t>
  </si>
  <si>
    <t>MUÑOZ</t>
  </si>
  <si>
    <t>PAREDES</t>
  </si>
  <si>
    <t>KAREN CITLALI</t>
  </si>
  <si>
    <t>RODRÍGUEZ</t>
  </si>
  <si>
    <t>ROBLES</t>
  </si>
  <si>
    <t>JOSÉ GERARDO</t>
  </si>
  <si>
    <t>MELENDEZ</t>
  </si>
  <si>
    <t>50118163TRANSBPI79751746</t>
  </si>
  <si>
    <t>JOSÉ ÁNGEL</t>
  </si>
  <si>
    <t>MARIN</t>
  </si>
  <si>
    <t>CRUZ</t>
  </si>
  <si>
    <t>50117838TRANSBPI81152812</t>
  </si>
  <si>
    <t>SANDRA VICTORIA</t>
  </si>
  <si>
    <t>DÍAZ</t>
  </si>
  <si>
    <t>AGUIRRE</t>
  </si>
  <si>
    <t>HEYDI PAOLA</t>
  </si>
  <si>
    <t>PECH</t>
  </si>
  <si>
    <t>URBAN</t>
  </si>
  <si>
    <t>ANA ITZEL</t>
  </si>
  <si>
    <t>LOZADA</t>
  </si>
  <si>
    <t>NAJERA</t>
  </si>
  <si>
    <t>GRESI RUBI</t>
  </si>
  <si>
    <t>CASIMIRO</t>
  </si>
  <si>
    <t>VELASQUEZ</t>
  </si>
  <si>
    <t>PRISCILA</t>
  </si>
  <si>
    <t>JIMÉNEZ</t>
  </si>
  <si>
    <t>ADILENE</t>
  </si>
  <si>
    <t>MIRIAM ALEJANDRA</t>
  </si>
  <si>
    <t xml:space="preserve">SÁNCHEZ </t>
  </si>
  <si>
    <t xml:space="preserve">ULISES </t>
  </si>
  <si>
    <t>SANTOS</t>
  </si>
  <si>
    <t>FRENTE 5 MÉXICO - QUERÉTARO.</t>
  </si>
  <si>
    <t>OSVALDO</t>
  </si>
  <si>
    <t>ANTONIO</t>
  </si>
  <si>
    <t>MESA DE CONTROL DE CALIDAD</t>
  </si>
  <si>
    <t>FRENTE 3 TRAMO 7</t>
  </si>
  <si>
    <t>TERESA ELIZABETH</t>
  </si>
  <si>
    <t>ALFARO</t>
  </si>
  <si>
    <t>JAFETH</t>
  </si>
  <si>
    <t>OLVERA</t>
  </si>
  <si>
    <t>ESTUDILLO</t>
  </si>
  <si>
    <t>ELECTRICA</t>
  </si>
  <si>
    <t xml:space="preserve">MALDONADO </t>
  </si>
  <si>
    <t xml:space="preserve">RODRIGUEZ </t>
  </si>
  <si>
    <t xml:space="preserve">ANA KAREN </t>
  </si>
  <si>
    <t>WALDO</t>
  </si>
  <si>
    <t>BAUTISTA</t>
  </si>
  <si>
    <t>SANDRA KARIME</t>
  </si>
  <si>
    <t>SANTIAGO</t>
  </si>
  <si>
    <t>MESA SALVAMENTO ARQUEOLÓGICO</t>
  </si>
  <si>
    <t>ARTURO</t>
  </si>
  <si>
    <t>ÁVILA</t>
  </si>
  <si>
    <t>ALICIA</t>
  </si>
  <si>
    <t>CIPRIANO</t>
  </si>
  <si>
    <t>CAMINO</t>
  </si>
  <si>
    <t>MESA CONTROL INTERNO Y ADMÓN DE RIESGOS</t>
  </si>
  <si>
    <t>MARTÍN IVÁN</t>
  </si>
  <si>
    <t>ALBARRÁN</t>
  </si>
  <si>
    <t>CONDA</t>
  </si>
  <si>
    <t>TPMP F1 AIFA-PACHUCA</t>
  </si>
  <si>
    <t>ELDA</t>
  </si>
  <si>
    <t>MARGARITA</t>
  </si>
  <si>
    <t>OCEJO</t>
  </si>
  <si>
    <t>XEGUER</t>
  </si>
  <si>
    <t>TAP F1</t>
  </si>
  <si>
    <t>JAVIER</t>
  </si>
  <si>
    <t>BARRIENTOS</t>
  </si>
  <si>
    <t>CUEVAS</t>
  </si>
  <si>
    <t>NU3AMVTV4QDI86T8682VJDBI3FBN</t>
  </si>
  <si>
    <t>HUGO</t>
  </si>
  <si>
    <t>BRITO</t>
  </si>
  <si>
    <t>ALANIS</t>
  </si>
  <si>
    <t>MESA DE ROPOGRAFÍA</t>
  </si>
  <si>
    <t>KARLA</t>
  </si>
  <si>
    <t>LOREDO</t>
  </si>
  <si>
    <t>MESA DE TOPOGRAFÍA</t>
  </si>
  <si>
    <t>SCOTIANBANK</t>
  </si>
  <si>
    <t>MESA TIC</t>
  </si>
  <si>
    <t>OSCAR ALFREDO</t>
  </si>
  <si>
    <t>JUÁREZ</t>
  </si>
  <si>
    <t>CONTROL INTERNO Y ADMINISTRACIÓN DE RIESGOS</t>
  </si>
  <si>
    <t>CRISTINA ELENA</t>
  </si>
  <si>
    <t>VELÁZQUEZ</t>
  </si>
  <si>
    <t>MÉXICO-QUERÉTARO F3</t>
  </si>
  <si>
    <t>ADRIAN FERNANDO</t>
  </si>
  <si>
    <t>ERNESTO</t>
  </si>
  <si>
    <t>MIC</t>
  </si>
  <si>
    <t>PAOLA SARAHI</t>
  </si>
  <si>
    <t>VALENCIA</t>
  </si>
  <si>
    <t>TREJO</t>
  </si>
  <si>
    <t>MARISOL MONTSERRAT</t>
  </si>
  <si>
    <t>DE LA CRUZ</t>
  </si>
  <si>
    <t>MESA ESTRUCTURAS</t>
  </si>
  <si>
    <t>TOTAL PLAYERAS</t>
  </si>
  <si>
    <t>EDGAR ALBERTO</t>
  </si>
  <si>
    <t>GAVITO</t>
  </si>
  <si>
    <t>AMADA YESICA</t>
  </si>
  <si>
    <t>ALBA</t>
  </si>
  <si>
    <t>NERY</t>
  </si>
  <si>
    <t>ERICK</t>
  </si>
  <si>
    <t>DUSTIN</t>
  </si>
  <si>
    <t>CERÓN</t>
  </si>
  <si>
    <t>LLERA</t>
  </si>
  <si>
    <t>ALMA GUADALUPE</t>
  </si>
  <si>
    <t>SANCHEZ</t>
  </si>
  <si>
    <t>50118052TRANSBPI91581330</t>
  </si>
  <si>
    <t>ORLANDO</t>
  </si>
  <si>
    <t>ARELLANO</t>
  </si>
  <si>
    <t>MIRANDA</t>
  </si>
  <si>
    <t>MESA REVISIÓN DE ADQUISICIONES Y CONTROL CONTABLE</t>
  </si>
  <si>
    <t>50116736TRANSBPI9533850</t>
  </si>
  <si>
    <t>CARLOS ANTONIO</t>
  </si>
  <si>
    <t>LUCAS</t>
  </si>
  <si>
    <t>MESA DE TRANSPORTES</t>
  </si>
  <si>
    <t>SPIN OXXO</t>
  </si>
  <si>
    <t>SPIN-20260928153403GD23ST8E</t>
  </si>
  <si>
    <t>MARÍA ANDRE</t>
  </si>
  <si>
    <t>JASSO</t>
  </si>
  <si>
    <t>BANCO AZTECA</t>
  </si>
  <si>
    <t>2609270111027076074H</t>
  </si>
  <si>
    <t>TANIA IVET</t>
  </si>
  <si>
    <t>VALENZUELA</t>
  </si>
  <si>
    <t>F5 MEX-QRO</t>
  </si>
  <si>
    <t>NU3ANA5NEG8V9NOABKKKR2QIAS4M</t>
  </si>
  <si>
    <t>RAMAL POXILÁ-MÉRIDA Y POXILÁ-HUNUCMÁ</t>
  </si>
  <si>
    <t>2609280111046942356H</t>
  </si>
  <si>
    <t>LUIS JAIR</t>
  </si>
  <si>
    <t>MARIO</t>
  </si>
  <si>
    <t>JOSSELINNE</t>
  </si>
  <si>
    <t>ORTIZ</t>
  </si>
  <si>
    <t>NU3ANA5K458F9BIBMJO4LD9RON73</t>
  </si>
  <si>
    <t>VAITIARE</t>
  </si>
  <si>
    <t>EXTRA CHICA</t>
  </si>
  <si>
    <t>JORGE</t>
  </si>
  <si>
    <t>LUVIANOS</t>
  </si>
  <si>
    <t>RAMOS</t>
  </si>
  <si>
    <t>MAURICIO JESÚS</t>
  </si>
  <si>
    <t>SUÁREZ</t>
  </si>
  <si>
    <t>REPOSICIÓN DE INFRAESTRUCTURA Y SERVICIOS AFECTADOS</t>
  </si>
  <si>
    <t xml:space="preserve">JOSE ANTONIO </t>
  </si>
  <si>
    <t xml:space="preserve"> MARTÍNEZ </t>
  </si>
  <si>
    <t xml:space="preserve">VARGAS </t>
  </si>
  <si>
    <t>MESA RIYSA</t>
  </si>
  <si>
    <t>Ismael</t>
  </si>
  <si>
    <t xml:space="preserve">Perales </t>
  </si>
  <si>
    <t>Maria Suarez Cruz</t>
  </si>
  <si>
    <t>Frente 1 TPMP</t>
  </si>
  <si>
    <t>ASIEL</t>
  </si>
  <si>
    <t>VALDES</t>
  </si>
  <si>
    <t>COSIO</t>
  </si>
  <si>
    <t>MESA REPOSICIÓN DE INFRAESTRUCTURA Y SERVICIOS AFECTADOS</t>
  </si>
  <si>
    <t>Neftalee Oscar Soto Diaz</t>
  </si>
  <si>
    <t xml:space="preserve"> Control Interno y Administración de Riesgos.</t>
  </si>
  <si>
    <t>Víctor Alberto Jandete Torres</t>
  </si>
  <si>
    <t>Mesa de Control Interno y Admon Riesgos.</t>
  </si>
  <si>
    <t>Combustibles y Lubricantes</t>
  </si>
  <si>
    <t xml:space="preserve">Joselyn Gabriela Gutierrez Elizalde </t>
  </si>
  <si>
    <t xml:space="preserve">FABIÁN ARTURO </t>
  </si>
  <si>
    <t xml:space="preserve">RESENDIS </t>
  </si>
  <si>
    <t>MESA DE COMBUSTIBLES Y LUBRICANTES.</t>
  </si>
  <si>
    <t>Ruben Rodríguez Ramirez,</t>
  </si>
  <si>
    <t>MARIEL GUEVARA FIGUEROA</t>
  </si>
  <si>
    <t>TERMINAL DE CARGA PROGRESO</t>
  </si>
  <si>
    <t>FRANCISCO DE JESUS LOPEZ MORENO</t>
  </si>
  <si>
    <t>CARLOS EDUARDO PEREZ GRESS</t>
  </si>
  <si>
    <t xml:space="preserve">DIANA EVELIN JIMENEZ COVA </t>
  </si>
  <si>
    <t>MARIA GUADALUPE GARCIA HERNANDEZ</t>
  </si>
  <si>
    <t>YAZZARETH HERNANDEZ ORDOÑEZ</t>
  </si>
  <si>
    <t>MISAEL ISAIAS TREJO GUERRERO</t>
  </si>
  <si>
    <t xml:space="preserve">América </t>
  </si>
  <si>
    <t xml:space="preserve">Hernández </t>
  </si>
  <si>
    <t>Lugardo</t>
  </si>
  <si>
    <t>Mesa de Estimaciones</t>
  </si>
  <si>
    <t>Israel</t>
  </si>
  <si>
    <t>Benítez</t>
  </si>
  <si>
    <t xml:space="preserve">Esaú </t>
  </si>
  <si>
    <t xml:space="preserve">González </t>
  </si>
  <si>
    <t>Aylin Desiree</t>
  </si>
  <si>
    <t>Gutierrez</t>
  </si>
  <si>
    <t>Elizalde</t>
  </si>
  <si>
    <t>Mesa de Transportes</t>
  </si>
  <si>
    <t>Control Interno y Administración de Riesgos.</t>
  </si>
  <si>
    <t xml:space="preserve"> TAPIA</t>
  </si>
  <si>
    <t>COLIN.</t>
  </si>
  <si>
    <t>TAURINO</t>
  </si>
  <si>
    <t xml:space="preserve">MARTINEZ </t>
  </si>
  <si>
    <t xml:space="preserve">DOMÍNGUEZ </t>
  </si>
  <si>
    <t>MESA REV. ADQS Y CTL. CONTAB</t>
  </si>
  <si>
    <t xml:space="preserve">JANNIN MONSERRAT </t>
  </si>
  <si>
    <t xml:space="preserve">DOMINGUEZ </t>
  </si>
  <si>
    <t>MESA EN QUE LABORAN: MESA DE REVISIÓN DE ADQUISICIONES Y CONTROL CONTABLE</t>
  </si>
  <si>
    <t>LUIS CARLOS</t>
  </si>
  <si>
    <t>ANCHEYTA</t>
  </si>
  <si>
    <t>ORTEGA</t>
  </si>
  <si>
    <t>MESA DE EJECUCIÓN DE OBRA</t>
  </si>
  <si>
    <t>Mesa de Revisión de Adquisiciones y Control Contable</t>
  </si>
  <si>
    <t>HUMBERTO HERNÁNDEZ RIVERA</t>
  </si>
  <si>
    <t>MESA DE ATENCIÓN A AUDITORÍAS INTERNAS Y EXTERNAS</t>
  </si>
  <si>
    <t>MARA</t>
  </si>
  <si>
    <t>MAYA</t>
  </si>
  <si>
    <t xml:space="preserve">YVENES </t>
  </si>
  <si>
    <t xml:space="preserve">Victor Hugo Corona Hernández </t>
  </si>
  <si>
    <t>Mesa de predios y derecho de vía</t>
  </si>
  <si>
    <t>JOSE BALTAZAR</t>
  </si>
  <si>
    <t>ESPAÑA</t>
  </si>
  <si>
    <t>Cristian Josue Gijon Camacho</t>
  </si>
  <si>
    <t>Frente 2 Mex-Qro</t>
  </si>
  <si>
    <t>Raúl Reyes Hernández</t>
  </si>
  <si>
    <t>Frente 4 Méx-Qro</t>
  </si>
  <si>
    <t>Vanessa Enriquez</t>
  </si>
  <si>
    <t xml:space="preserve"> Alexia Rubí</t>
  </si>
  <si>
    <t>Calzada</t>
  </si>
  <si>
    <t xml:space="preserve"> Campos</t>
  </si>
  <si>
    <t xml:space="preserve"> FLAVIO RAFAEL</t>
  </si>
  <si>
    <t>CONSTANTINO</t>
  </si>
  <si>
    <t>MARCIAL</t>
  </si>
  <si>
    <t>IFMQ-F3</t>
  </si>
  <si>
    <t>Kimberly Aketzaly</t>
  </si>
  <si>
    <t>Monsalvo</t>
  </si>
  <si>
    <t>Mesa: Reposición de Infraestructura y Servicios Afectados</t>
  </si>
  <si>
    <t>Frente 7 Ramal</t>
  </si>
  <si>
    <t>Ruben Alberto</t>
  </si>
  <si>
    <t>Olguin</t>
  </si>
  <si>
    <t>Baños</t>
  </si>
  <si>
    <t>FIGUEROA</t>
  </si>
  <si>
    <t>MAGAÑA</t>
  </si>
  <si>
    <t>GUEVARA</t>
  </si>
  <si>
    <t>ALEJANDRO</t>
  </si>
  <si>
    <t>JOSE ENRIQUE</t>
  </si>
  <si>
    <t>LOPEZ</t>
  </si>
  <si>
    <t>VÁZQUEZ</t>
  </si>
  <si>
    <t>TOMÁS</t>
  </si>
  <si>
    <t>LIMÓN</t>
  </si>
  <si>
    <t>JULIO CÉSAR</t>
  </si>
  <si>
    <t>MARÍA JOSÉ</t>
  </si>
  <si>
    <t>MADRIGAL</t>
  </si>
  <si>
    <t>MESA REV. ADQS. Y CTL. CONTAB.</t>
  </si>
  <si>
    <t>LUIS FERNANDO</t>
  </si>
  <si>
    <t>MESA REV. ADQS. Y CTL. CONTAB</t>
  </si>
  <si>
    <t>IVETT</t>
  </si>
  <si>
    <t>GUAJARDO</t>
  </si>
  <si>
    <t>DE ANDA</t>
  </si>
  <si>
    <t>F2 MÉX-QRO</t>
  </si>
  <si>
    <t>260928011179017221I</t>
  </si>
  <si>
    <t>EDGAR ENRIQUE</t>
  </si>
  <si>
    <t>MONROY</t>
  </si>
  <si>
    <t>ANDREA</t>
  </si>
  <si>
    <t>BALDERAS</t>
  </si>
  <si>
    <t>OROZCO</t>
  </si>
  <si>
    <t>F7 RAMAL</t>
  </si>
  <si>
    <t>GUSTAVO</t>
  </si>
  <si>
    <t>AVILA</t>
  </si>
  <si>
    <t>MESA MIC</t>
  </si>
  <si>
    <t>LESLIE AZUL</t>
  </si>
  <si>
    <t>SALAZAR</t>
  </si>
  <si>
    <t>ESTRELA</t>
  </si>
  <si>
    <t>MESA DE SEGURIDAD Y SALUD EN EL TRABAJO</t>
  </si>
  <si>
    <t>VALENTIN</t>
  </si>
  <si>
    <t>TOMAS</t>
  </si>
  <si>
    <t>JORGE ARMANDO</t>
  </si>
  <si>
    <t>TELLEZ</t>
  </si>
  <si>
    <t>ERIZBETH</t>
  </si>
  <si>
    <t>GUZMÁN</t>
  </si>
  <si>
    <t>CORONA</t>
  </si>
  <si>
    <t>DANIELA</t>
  </si>
  <si>
    <t>ORONZOR</t>
  </si>
  <si>
    <t>MEZA</t>
  </si>
  <si>
    <t>GRACIELA</t>
  </si>
  <si>
    <t>CONTROL DE EQUIPAMIENTO PERMANENTE Y NO PERMANENTE</t>
  </si>
  <si>
    <t>JANET ITZEL</t>
  </si>
  <si>
    <t>CAMPOS</t>
  </si>
  <si>
    <t>LOZANO</t>
  </si>
  <si>
    <t>MESA R.H.</t>
  </si>
  <si>
    <t>2609280111068904367H</t>
  </si>
  <si>
    <t>KAREN CECILIA</t>
  </si>
  <si>
    <t>MARÍA GUADALUPE</t>
  </si>
  <si>
    <t>SANTAMARIA</t>
  </si>
  <si>
    <t>LARA</t>
  </si>
  <si>
    <t>OSCAR</t>
  </si>
  <si>
    <t>CONTRERAS</t>
  </si>
  <si>
    <t>CAROLINA</t>
  </si>
  <si>
    <t>CEPEDA</t>
  </si>
  <si>
    <t>F2 RAMAL, TREN MAYA</t>
  </si>
  <si>
    <t>2609280111076657608H</t>
  </si>
  <si>
    <t>ELVA LETICIA</t>
  </si>
  <si>
    <t>CAMBEROS</t>
  </si>
  <si>
    <t>DEL ANGEL</t>
  </si>
  <si>
    <t>HILSE DE JESÚS</t>
  </si>
  <si>
    <t>CHINO</t>
  </si>
  <si>
    <t>BRENDA GUADALUPE</t>
  </si>
  <si>
    <t>AMAYA</t>
  </si>
  <si>
    <t>MESA DE PREDIOS Y DERECHO DE VÍA</t>
  </si>
  <si>
    <t>JENNYFER SAMANTHA</t>
  </si>
  <si>
    <t>LUIS ANTONIO</t>
  </si>
  <si>
    <t>VILLALVA</t>
  </si>
  <si>
    <t>MESA DE AUDITORIAS</t>
  </si>
  <si>
    <t>2609280111081398975H</t>
  </si>
  <si>
    <t>JONATHAN IVAN</t>
  </si>
  <si>
    <t>PARADA</t>
  </si>
  <si>
    <t>ITEPA Y CAF</t>
  </si>
  <si>
    <t>CARLOS ALBERTO</t>
  </si>
  <si>
    <t>COLMENERO</t>
  </si>
  <si>
    <t>GRUPO ENLACE</t>
  </si>
  <si>
    <t>PRESUPUESTO Y PROGRAMACIÓN</t>
  </si>
  <si>
    <t>ALEXANDRO VALENTIN</t>
  </si>
  <si>
    <t>LUGO</t>
  </si>
  <si>
    <t>ÁLVARO</t>
  </si>
  <si>
    <t>TECUA</t>
  </si>
  <si>
    <t>ATN. AUDS. INTS. Y EXTS.</t>
  </si>
  <si>
    <t>50118163TRANSBPI27987326</t>
  </si>
  <si>
    <t>FABIOLA</t>
  </si>
  <si>
    <t>REV. ADQS. Y CONT. CONTAB.</t>
  </si>
  <si>
    <t>50118163TRANSBPI28007596</t>
  </si>
  <si>
    <t>CHRISTIAN</t>
  </si>
  <si>
    <t>ALVARADO</t>
  </si>
  <si>
    <t>ALFREDO</t>
  </si>
  <si>
    <t>MESA ADQUISICIONES</t>
  </si>
  <si>
    <t>SEBASTIÁN</t>
  </si>
  <si>
    <t>DINORÍN</t>
  </si>
  <si>
    <t>ITE YPF</t>
  </si>
  <si>
    <t>MARTHA PATRICIA</t>
  </si>
  <si>
    <t>ESPERANZA</t>
  </si>
  <si>
    <t>TRONCOSO</t>
  </si>
  <si>
    <t>Daniela</t>
  </si>
  <si>
    <t xml:space="preserve">Yamili </t>
  </si>
  <si>
    <t xml:space="preserve">Vidales </t>
  </si>
  <si>
    <t xml:space="preserve">Wendy Arely </t>
  </si>
  <si>
    <t>Rodríguez</t>
  </si>
  <si>
    <t>Valencia</t>
  </si>
  <si>
    <t xml:space="preserve">NAYELI ELIZABETH </t>
  </si>
  <si>
    <t xml:space="preserve">PERDOMO </t>
  </si>
  <si>
    <t>Narayama</t>
  </si>
  <si>
    <t xml:space="preserve">Castro </t>
  </si>
  <si>
    <t xml:space="preserve"> Islas</t>
  </si>
  <si>
    <t>Lucia Marlen</t>
  </si>
  <si>
    <t xml:space="preserve">Valencia </t>
  </si>
  <si>
    <t>Arista</t>
  </si>
  <si>
    <t>CATHERINNE MONSERRAT</t>
  </si>
  <si>
    <t>ALBARRAN</t>
  </si>
  <si>
    <t>VILLANUEVA</t>
  </si>
  <si>
    <t>Irais</t>
  </si>
  <si>
    <t>Zarco</t>
  </si>
  <si>
    <t>Lopez</t>
  </si>
  <si>
    <t>ESTEFANIA JAZMIN</t>
  </si>
  <si>
    <t>GAONA</t>
  </si>
  <si>
    <t>GUERRERO</t>
  </si>
  <si>
    <t>ARIDAI</t>
  </si>
  <si>
    <t>BELEM</t>
  </si>
  <si>
    <t>LLUVIA INES</t>
  </si>
  <si>
    <t>COBIAN</t>
  </si>
  <si>
    <t>LUZ MARIA</t>
  </si>
  <si>
    <t>MARIA FERNANDA</t>
  </si>
  <si>
    <t>MONTOYA</t>
  </si>
  <si>
    <t>ADRIANA BERENICE</t>
  </si>
  <si>
    <t>JOCELYNE</t>
  </si>
  <si>
    <t>CASASOLA</t>
  </si>
  <si>
    <t>ROBLEDO</t>
  </si>
  <si>
    <t xml:space="preserve">MARLEN ADALI </t>
  </si>
  <si>
    <t>JACOME</t>
  </si>
  <si>
    <t>Cecilia</t>
  </si>
  <si>
    <t>Meza</t>
  </si>
  <si>
    <t>López</t>
  </si>
  <si>
    <t>TERMINAL MULTIMODAL PALENQUE</t>
  </si>
  <si>
    <t>ITEYPF MESA DE PLATAFORMA Y VÍA</t>
  </si>
  <si>
    <t>Frente 5</t>
  </si>
  <si>
    <t>Frente 7</t>
  </si>
  <si>
    <t>FRENTE 2</t>
  </si>
  <si>
    <t>F-10 MEX-QRO</t>
  </si>
  <si>
    <t>FRENTE 2 AIFA-PACHUCA</t>
  </si>
  <si>
    <t xml:space="preserve">Rocio </t>
  </si>
  <si>
    <t xml:space="preserve">Naval </t>
  </si>
  <si>
    <t>Lugo</t>
  </si>
  <si>
    <t>Norma Vianey</t>
  </si>
  <si>
    <t>Villegas</t>
  </si>
  <si>
    <t>Rueda</t>
  </si>
  <si>
    <t>ROSALIN</t>
  </si>
  <si>
    <t>FERNANDEZ</t>
  </si>
  <si>
    <t>LANDEROS</t>
  </si>
  <si>
    <t>ANABELL</t>
  </si>
  <si>
    <t>JIMENEZ</t>
  </si>
  <si>
    <t>ESCAMILLA</t>
  </si>
  <si>
    <t>ELIA IVONNE</t>
  </si>
  <si>
    <t>LEON</t>
  </si>
  <si>
    <t>Juan Enrique</t>
  </si>
  <si>
    <t xml:space="preserve">Lopez </t>
  </si>
  <si>
    <t>Tellez</t>
  </si>
  <si>
    <t xml:space="preserve">Adair </t>
  </si>
  <si>
    <t xml:space="preserve"> Arenas </t>
  </si>
  <si>
    <t xml:space="preserve">Romero </t>
  </si>
  <si>
    <t>ADRIAN</t>
  </si>
  <si>
    <t xml:space="preserve">COBOS </t>
  </si>
  <si>
    <t>LOMAS</t>
  </si>
  <si>
    <t>ALAN TOMAS</t>
  </si>
  <si>
    <t xml:space="preserve">HERNÁNDEZ </t>
  </si>
  <si>
    <t>ARANDA</t>
  </si>
  <si>
    <t>ALEXIS</t>
  </si>
  <si>
    <t>ARAM</t>
  </si>
  <si>
    <t xml:space="preserve"> David Antonio</t>
  </si>
  <si>
    <t>Ortega</t>
  </si>
  <si>
    <t xml:space="preserve"> Xicotencatl</t>
  </si>
  <si>
    <t>PEDRO</t>
  </si>
  <si>
    <t>SALCEDO</t>
  </si>
  <si>
    <t>FABELA</t>
  </si>
  <si>
    <t>PAOLO</t>
  </si>
  <si>
    <t>DANIEL ALBERTO</t>
  </si>
  <si>
    <t>GOMEZ</t>
  </si>
  <si>
    <t>GUILLERMO ABIASAF</t>
  </si>
  <si>
    <t>PEDRAZA</t>
  </si>
  <si>
    <t>CESAR ARMANDO</t>
  </si>
  <si>
    <t>Aeronáutica/ITEPAyCaF</t>
  </si>
  <si>
    <t>ITEyPF MESA DE PLATAFORMA Y VÍA</t>
  </si>
  <si>
    <t>VIXTHA</t>
  </si>
  <si>
    <t>Frankie</t>
  </si>
  <si>
    <t>Barrios</t>
  </si>
  <si>
    <t>KARINA</t>
  </si>
  <si>
    <t>ARANZA AMAIRANI</t>
  </si>
  <si>
    <t>TERESA</t>
  </si>
  <si>
    <t>MAXIMO</t>
  </si>
  <si>
    <t>LIZBETH</t>
  </si>
  <si>
    <t xml:space="preserve">Julisa </t>
  </si>
  <si>
    <t xml:space="preserve">Meneses </t>
  </si>
  <si>
    <t>Rangel</t>
  </si>
  <si>
    <t xml:space="preserve">Frente 5 tren México-Queretaro </t>
  </si>
  <si>
    <t>MIRIAM VANESSA</t>
  </si>
  <si>
    <t>PARRA</t>
  </si>
  <si>
    <t>MESA O FRENTE: FRENTE 2 MÉX-QTO</t>
  </si>
  <si>
    <t>PAULA</t>
  </si>
  <si>
    <t>OJEDA</t>
  </si>
  <si>
    <t xml:space="preserve">FABIOLA GUADALUPE </t>
  </si>
  <si>
    <t>TERMINAL MULTIODAL PALENQUE</t>
  </si>
  <si>
    <t xml:space="preserve">IVAN ALEJANDRO </t>
  </si>
  <si>
    <t>DIAZ</t>
  </si>
  <si>
    <t xml:space="preserve">RENATO </t>
  </si>
  <si>
    <t>JAIMES</t>
  </si>
  <si>
    <t>IBARRA</t>
  </si>
  <si>
    <t>MARVIN</t>
  </si>
  <si>
    <t>SANJUAN</t>
  </si>
  <si>
    <t>Fernando</t>
  </si>
  <si>
    <t xml:space="preserve">Morales </t>
  </si>
  <si>
    <t xml:space="preserve">Montes </t>
  </si>
  <si>
    <t>Mesa de Adq. y Ctrl Contable.</t>
  </si>
  <si>
    <t>CARLOS ANDRES</t>
  </si>
  <si>
    <t>AZUARA</t>
  </si>
  <si>
    <t xml:space="preserve">Alexandra Pamela </t>
  </si>
  <si>
    <t xml:space="preserve">Díaz </t>
  </si>
  <si>
    <t>JESSICA ALEJANDRA</t>
  </si>
  <si>
    <t xml:space="preserve">GONZALEZ </t>
  </si>
  <si>
    <t>KARLA FERNANDA</t>
  </si>
  <si>
    <t>F2TAP</t>
  </si>
  <si>
    <t>F2 TAP</t>
  </si>
  <si>
    <t>YAIR</t>
  </si>
  <si>
    <t>BOCARDO</t>
  </si>
  <si>
    <t>URRUTIA</t>
  </si>
  <si>
    <t>LUIS</t>
  </si>
  <si>
    <t>REAL</t>
  </si>
  <si>
    <t xml:space="preserve"> MARCO ANTONIO</t>
  </si>
  <si>
    <t xml:space="preserve">ORTIZ </t>
  </si>
  <si>
    <t>CATVI’S T-4</t>
  </si>
  <si>
    <t>Yhenny Yuliana</t>
  </si>
  <si>
    <t>Soto</t>
  </si>
  <si>
    <t>Diaz</t>
  </si>
  <si>
    <t>Mesa de Rev. Adqs. y Ctl. Cont.</t>
  </si>
  <si>
    <t>Ivan Alonso</t>
  </si>
  <si>
    <t>solorzano</t>
  </si>
  <si>
    <t xml:space="preserve">Frente 1 tren México-Queretaro </t>
  </si>
  <si>
    <t xml:space="preserve">XIMENA YARETH </t>
  </si>
  <si>
    <t>NAVARRO</t>
  </si>
  <si>
    <t>FRENTE 7 POXILÁ-MÉRIDA</t>
  </si>
  <si>
    <t xml:space="preserve">CHRISTIAN ISAAC </t>
  </si>
  <si>
    <t>BUSTAMANTE</t>
  </si>
  <si>
    <t xml:space="preserve">GONZÁLEZ </t>
  </si>
  <si>
    <t>FRENTE 7 POXILA - MÉRIDA</t>
  </si>
  <si>
    <t>FABIAN SANTOS</t>
  </si>
  <si>
    <t>REBOLLO</t>
  </si>
  <si>
    <t xml:space="preserve">ITZEL ALEJANDRA </t>
  </si>
  <si>
    <t xml:space="preserve">BUSTAMANTE </t>
  </si>
  <si>
    <t>FRENTE 7 POXILA-MERIDA</t>
  </si>
  <si>
    <t xml:space="preserve">ANDREA </t>
  </si>
  <si>
    <t xml:space="preserve">ALEXIA LIZBETH </t>
  </si>
  <si>
    <t xml:space="preserve">LECONA </t>
  </si>
  <si>
    <t>FÉRREA AIFA-PACHUCA, FRENTE 1”.</t>
  </si>
  <si>
    <t>ELIZABET</t>
  </si>
  <si>
    <t>VILLAGOMEZ</t>
  </si>
  <si>
    <t>MESA TRANSPARENCIA</t>
  </si>
  <si>
    <t>CARLOS</t>
  </si>
  <si>
    <t>QUEZADA</t>
  </si>
  <si>
    <t>PEÑALOZA</t>
  </si>
  <si>
    <t>RAMAL POXILA-MÉRIDA Y POXILÁ-HUNUCMÁ</t>
  </si>
  <si>
    <t>TONANTZYN</t>
  </si>
  <si>
    <t>CARDENAS</t>
  </si>
  <si>
    <t>DANIEL</t>
  </si>
  <si>
    <t>PEGO</t>
  </si>
  <si>
    <t>F2 AIFA-PACHUCA</t>
  </si>
  <si>
    <t>VIERA</t>
  </si>
  <si>
    <t>JESUS ANTONIO</t>
  </si>
  <si>
    <t>TEJEDA</t>
  </si>
  <si>
    <t>MESA DE CONTROL DOCUMENTAL Y ARCHIVO</t>
  </si>
  <si>
    <t>URIEL</t>
  </si>
  <si>
    <t xml:space="preserve">ABRAHAM  </t>
  </si>
  <si>
    <t>PUERTOS</t>
  </si>
  <si>
    <t>MESA PREDIOS Y DDV</t>
  </si>
  <si>
    <t>ANDRÉS</t>
  </si>
  <si>
    <t>LEDEZMA</t>
  </si>
  <si>
    <t>GABRIEL</t>
  </si>
  <si>
    <t xml:space="preserve">LESLIE  </t>
  </si>
  <si>
    <t>VIDALES</t>
  </si>
  <si>
    <t>REA</t>
  </si>
  <si>
    <t>EYP</t>
  </si>
  <si>
    <t>ANA KARINA</t>
  </si>
  <si>
    <t>GERARDO CESAR</t>
  </si>
  <si>
    <t>EGUIARTE</t>
  </si>
  <si>
    <t>QUIROZ</t>
  </si>
  <si>
    <t>ESTUDIOS Y PROYECTOS</t>
  </si>
  <si>
    <t>KENYA PAMELA</t>
  </si>
  <si>
    <t>VIEYRA</t>
  </si>
  <si>
    <t>BEJARANO</t>
  </si>
  <si>
    <t>JORGE ARTURO</t>
  </si>
  <si>
    <t>BRENDA NATALY</t>
  </si>
  <si>
    <t>CARRASQUEDO</t>
  </si>
  <si>
    <t>PONCE</t>
  </si>
  <si>
    <t>JOSÉ FERNANDO</t>
  </si>
  <si>
    <t>RUBIO</t>
  </si>
  <si>
    <t>MESA AUDITORIAS</t>
  </si>
  <si>
    <t>RAFAEL</t>
  </si>
  <si>
    <t>SEGURA</t>
  </si>
  <si>
    <t>MARQUEZ</t>
  </si>
  <si>
    <t>ADRIÁN</t>
  </si>
  <si>
    <t>GUTIERRÉZ</t>
  </si>
  <si>
    <t>PADILLA</t>
  </si>
  <si>
    <t xml:space="preserve">GUILLERMO  </t>
  </si>
  <si>
    <t>DOMINGUEZ</t>
  </si>
  <si>
    <t>ARCETA</t>
  </si>
  <si>
    <t>CERON</t>
  </si>
  <si>
    <t>JAIME</t>
  </si>
  <si>
    <t>EUGENIO</t>
  </si>
  <si>
    <t>RESERVA</t>
  </si>
  <si>
    <t>SANTI</t>
  </si>
  <si>
    <t>AMÉRICA AMANDA</t>
  </si>
  <si>
    <t>ACOLTZI</t>
  </si>
  <si>
    <t>JOSELINE LILIANA</t>
  </si>
  <si>
    <t>ATENCIÓN A AUDITORÍAS</t>
  </si>
  <si>
    <t>VIRIDIANA</t>
  </si>
  <si>
    <t>ROSETTE</t>
  </si>
  <si>
    <t>ANTONIO DE JESÚS</t>
  </si>
  <si>
    <t>SANTILLAN</t>
  </si>
  <si>
    <t>SARAHI</t>
  </si>
  <si>
    <t>TIMOTEO</t>
  </si>
  <si>
    <t>RODRIGO</t>
  </si>
  <si>
    <t>BARON</t>
  </si>
  <si>
    <t>SULLY YARET</t>
  </si>
  <si>
    <t>ERIK JONATHAN</t>
  </si>
  <si>
    <t>F6 MÉX-QRO</t>
  </si>
  <si>
    <t>CECILIA</t>
  </si>
  <si>
    <t>CEDILLO</t>
  </si>
  <si>
    <t>ESTEFANÍA</t>
  </si>
  <si>
    <t>MANRIQUEZ</t>
  </si>
  <si>
    <t>CAUDILLO</t>
  </si>
  <si>
    <t>NICTE ISABEL</t>
  </si>
  <si>
    <t>BIBIANA</t>
  </si>
  <si>
    <t>CORTEZ</t>
  </si>
  <si>
    <t>ANTONIO DANIEL</t>
  </si>
  <si>
    <t>TLAPA</t>
  </si>
  <si>
    <t>PALACIOS</t>
  </si>
  <si>
    <t>EXTRA EXTRA GRANDE</t>
  </si>
  <si>
    <t>MARÍA ELENA</t>
  </si>
  <si>
    <t>RIOS</t>
  </si>
  <si>
    <t>F6 MEX-QRO</t>
  </si>
  <si>
    <t>ENRIQUE</t>
  </si>
  <si>
    <t>LADIN</t>
  </si>
  <si>
    <t>ARTURO IVAN</t>
  </si>
  <si>
    <t>AUGUSTO</t>
  </si>
  <si>
    <t>ABARCA</t>
  </si>
  <si>
    <t>GUILLERMO</t>
  </si>
  <si>
    <t>MESA DE ACARREOS</t>
  </si>
  <si>
    <t>ALAN MICHAEL</t>
  </si>
  <si>
    <t>ARREONDO</t>
  </si>
  <si>
    <t>SUILEN GABRIELA</t>
  </si>
  <si>
    <t>LEONEL</t>
  </si>
  <si>
    <t>JAZMÍN SOFÍA</t>
  </si>
  <si>
    <t>FRAGOSO</t>
  </si>
  <si>
    <t>THALÍA</t>
  </si>
  <si>
    <t>MORGADO</t>
  </si>
  <si>
    <t xml:space="preserve">ARTURO  </t>
  </si>
  <si>
    <t>ESCOBAR</t>
  </si>
  <si>
    <t>MATIAS</t>
  </si>
  <si>
    <t>LIANET</t>
  </si>
  <si>
    <t>LICEA</t>
  </si>
  <si>
    <t>INFANTE</t>
  </si>
  <si>
    <t>FRANCISCO ALEXIS</t>
  </si>
  <si>
    <t>PICAZO</t>
  </si>
  <si>
    <t>BARBOZA</t>
  </si>
  <si>
    <t>F3 MÉX-QRO</t>
  </si>
  <si>
    <t>MAGALI</t>
  </si>
  <si>
    <t>GUTIÉRREZ</t>
  </si>
  <si>
    <t>ITEYPF</t>
  </si>
  <si>
    <t>JOANA ADARELI</t>
  </si>
  <si>
    <t>DURÁN</t>
  </si>
  <si>
    <t>LAURA ALEJANDRA</t>
  </si>
  <si>
    <t>CARDOSO</t>
  </si>
  <si>
    <t>DELGADILLO</t>
  </si>
  <si>
    <t>JAFET</t>
  </si>
  <si>
    <t>JOSÉ ALBERTO</t>
  </si>
  <si>
    <t>ERAZO</t>
  </si>
  <si>
    <t>DARIANA</t>
  </si>
  <si>
    <t>CARRILLO</t>
  </si>
  <si>
    <t>LAFUENTE</t>
  </si>
  <si>
    <t>MÉNDEZ</t>
  </si>
  <si>
    <t>INES</t>
  </si>
  <si>
    <t>ALEGRÍA</t>
  </si>
  <si>
    <t>PINEDA</t>
  </si>
  <si>
    <t>KARLA MARIBEL</t>
  </si>
  <si>
    <t>BARRERA</t>
  </si>
  <si>
    <t>CORTÉS</t>
  </si>
  <si>
    <t>MESA REV. ADQS- Y CTL. CONTAB.</t>
  </si>
  <si>
    <t>RABADAN</t>
  </si>
  <si>
    <t>TERMINAL MULTIMODAL CANCÚN</t>
  </si>
  <si>
    <t>SALVADOR</t>
  </si>
  <si>
    <t>ZAVALA</t>
  </si>
  <si>
    <t>JESSICA DAFNE</t>
  </si>
  <si>
    <t>ALCANTARA</t>
  </si>
  <si>
    <t>PIE DE ÁNGEL</t>
  </si>
  <si>
    <t>LARENA</t>
  </si>
  <si>
    <t>LETICIA</t>
  </si>
  <si>
    <t>F5 MÉX-QRO</t>
  </si>
  <si>
    <t>LEONOR ALEJANDRINA</t>
  </si>
  <si>
    <t>MELLADO</t>
  </si>
  <si>
    <t>JORGE IVAN</t>
  </si>
  <si>
    <t>AURORA</t>
  </si>
  <si>
    <t>ABURTO</t>
  </si>
  <si>
    <t>CABRERA</t>
  </si>
  <si>
    <t>MESA DE PREDIOS Y DERECHO DE VIA</t>
  </si>
  <si>
    <t>RAÚL</t>
  </si>
  <si>
    <t>JOSÉ IVAN</t>
  </si>
  <si>
    <t>ANGUIANO</t>
  </si>
  <si>
    <t>KAREN BETZABET</t>
  </si>
  <si>
    <t xml:space="preserve"> MARTINEZ</t>
  </si>
  <si>
    <t>Katia</t>
  </si>
  <si>
    <t>Ortuño</t>
  </si>
  <si>
    <t xml:space="preserve"> Bermúdez</t>
  </si>
  <si>
    <t>Alejandra</t>
  </si>
  <si>
    <t>García</t>
  </si>
  <si>
    <t>Medina</t>
  </si>
  <si>
    <t xml:space="preserve">Mesa de Transparencia </t>
  </si>
  <si>
    <t>NAYDELIN</t>
  </si>
  <si>
    <t>NFRAESTRUCTURA FERROVIARIA EN EL NORTE DEL PAÍS, LÍNEA FÉRREA AIFA-PACHUCA, FRENTE 1</t>
  </si>
  <si>
    <t xml:space="preserve"> MEJÍA</t>
  </si>
  <si>
    <t>CANTERA</t>
  </si>
  <si>
    <t>INFRAESTRUCTURA FERROVIARIA EN EL NORTE DEL PAÍS, LÍNEA FÉRREA AIFA-PACHUCA, FRENTE 1</t>
  </si>
  <si>
    <t xml:space="preserve">Octavio Alfonso </t>
  </si>
  <si>
    <t>Cruz</t>
  </si>
  <si>
    <t>Control de Almacenes y Suministros</t>
  </si>
  <si>
    <t xml:space="preserve">Gloria Gabriela </t>
  </si>
  <si>
    <t xml:space="preserve">Fernando Samuel </t>
  </si>
  <si>
    <t xml:space="preserve">Lara </t>
  </si>
  <si>
    <t>Monzon</t>
  </si>
  <si>
    <t xml:space="preserve">Pedro </t>
  </si>
  <si>
    <t>Alavez</t>
  </si>
  <si>
    <t>Marinez</t>
  </si>
  <si>
    <t xml:space="preserve">Guadalupe </t>
  </si>
  <si>
    <t xml:space="preserve">Flores </t>
  </si>
  <si>
    <t>Guzman</t>
  </si>
  <si>
    <t xml:space="preserve">Edith </t>
  </si>
  <si>
    <t>Atilano</t>
  </si>
  <si>
    <t xml:space="preserve"> FRANCISCO </t>
  </si>
  <si>
    <t>Perez</t>
  </si>
  <si>
    <t>Alonso</t>
  </si>
  <si>
    <t>Christopher Ivan</t>
  </si>
  <si>
    <t>Mesa Rev. Adqs. y C.C.</t>
  </si>
  <si>
    <t xml:space="preserve">JAVIER  </t>
  </si>
  <si>
    <t>REVISIÓN DE ADQS. Y CONTROL CONTABLE</t>
  </si>
  <si>
    <t>CHORA</t>
  </si>
  <si>
    <t>Ricardo</t>
  </si>
  <si>
    <t>Escalona</t>
  </si>
  <si>
    <t>DIANA LEIDI</t>
  </si>
  <si>
    <t>MESA O FRENTE EN QUE LABORAN: REV. ADQ.Y CTL. CONTAB</t>
  </si>
  <si>
    <t>Adolfo</t>
  </si>
  <si>
    <t>Olvera</t>
  </si>
  <si>
    <t xml:space="preserve">Sofía </t>
  </si>
  <si>
    <t>Corrales</t>
  </si>
  <si>
    <t>Aparicio</t>
  </si>
  <si>
    <t>Mesa de Adquisiciones</t>
  </si>
  <si>
    <t>Jorge Guadalupe</t>
  </si>
  <si>
    <t>Deloza</t>
  </si>
  <si>
    <t>ANGEL</t>
  </si>
  <si>
    <t xml:space="preserve"> MENDOZA</t>
  </si>
  <si>
    <t>FRENTE: 7 RAMALES POXILA MÉRIDA- POXILA HUNUCMA.</t>
  </si>
  <si>
    <t xml:space="preserve">Juan Carlos </t>
  </si>
  <si>
    <t>JUAN CARLOS</t>
  </si>
  <si>
    <t xml:space="preserve">Ramírez </t>
  </si>
  <si>
    <t>GUADALUPE SARAHÍ</t>
  </si>
  <si>
    <t xml:space="preserve">BUENO </t>
  </si>
  <si>
    <t>CAZARES</t>
  </si>
  <si>
    <t>ANTONIETA</t>
  </si>
  <si>
    <t>FRENTE9 MEX QRO</t>
  </si>
  <si>
    <t>JOSÉ RICARDO</t>
  </si>
  <si>
    <t xml:space="preserve">WILBER ALARI </t>
  </si>
  <si>
    <t>CALVA</t>
  </si>
  <si>
    <t>MESA DE TOPOGRAFÍA LIDAR Y FOTOGRAMETRÍA</t>
  </si>
  <si>
    <t>MARIANA</t>
  </si>
  <si>
    <t>ARVIZU</t>
  </si>
  <si>
    <t>SERAPIO</t>
  </si>
  <si>
    <t xml:space="preserve">BRICEIDA </t>
  </si>
  <si>
    <t xml:space="preserve">PONCE DE LEÓN </t>
  </si>
  <si>
    <t>CHÁVEZ</t>
  </si>
  <si>
    <t>FRENTE 2, AIFA-PACHUCA</t>
  </si>
  <si>
    <t xml:space="preserve"> Xanat </t>
  </si>
  <si>
    <t>Santes</t>
  </si>
  <si>
    <t>JAZMIN LUCIA</t>
  </si>
  <si>
    <t xml:space="preserve"> RICARDO </t>
  </si>
  <si>
    <t>SOTO</t>
  </si>
  <si>
    <t>CASTAÑÓN</t>
  </si>
  <si>
    <t>FRENTE: 7</t>
  </si>
  <si>
    <t>SANTA VERONICA</t>
  </si>
  <si>
    <t>TRUJILLO</t>
  </si>
  <si>
    <t>ZAVALETA</t>
  </si>
  <si>
    <t>Salvador</t>
  </si>
  <si>
    <t xml:space="preserve"> Hernández</t>
  </si>
  <si>
    <t xml:space="preserve">Martínez </t>
  </si>
  <si>
    <t xml:space="preserve">Luis Alberto </t>
  </si>
  <si>
    <t>Carballo</t>
  </si>
  <si>
    <t>CHRISTOPHER YAIR</t>
  </si>
  <si>
    <t>ARRIAGA</t>
  </si>
  <si>
    <t>MESA DE TERRACERIAS Y PAVIMENTOS</t>
  </si>
  <si>
    <t>OSCAR GENARO</t>
  </si>
  <si>
    <t>SORIANO</t>
  </si>
  <si>
    <t>David</t>
  </si>
  <si>
    <t>Salmoran</t>
  </si>
  <si>
    <t>Miguel</t>
  </si>
  <si>
    <t xml:space="preserve">Mesa de revs. Adqs. Y Ctrl contable </t>
  </si>
  <si>
    <t>Guadalupe</t>
  </si>
  <si>
    <t xml:space="preserve">Leonel </t>
  </si>
  <si>
    <t>Pereda</t>
  </si>
  <si>
    <t>Frente 2 México - Querétaro.</t>
  </si>
  <si>
    <t xml:space="preserve">AMANDA CELIC </t>
  </si>
  <si>
    <t>FRENTE 6, MÉXICO QUERÉTARO</t>
  </si>
  <si>
    <t xml:space="preserve">FRANCISCO ALEXIS </t>
  </si>
  <si>
    <t xml:space="preserve">PICAZO </t>
  </si>
  <si>
    <t xml:space="preserve">BARBOZA </t>
  </si>
  <si>
    <t>FRENTE 3 MEX-QUE</t>
  </si>
  <si>
    <t xml:space="preserve"> MORALES</t>
  </si>
  <si>
    <t>TREN MEXICO QUERETARO FRENTE 3</t>
  </si>
  <si>
    <t xml:space="preserve">JOSE ALBERTO </t>
  </si>
  <si>
    <t>Dariana Carrillo</t>
  </si>
  <si>
    <t>Carrillo</t>
  </si>
  <si>
    <t xml:space="preserve">Lafuente </t>
  </si>
  <si>
    <t xml:space="preserve">Antonio de Jesús </t>
  </si>
  <si>
    <t xml:space="preserve">Pérez </t>
  </si>
  <si>
    <t xml:space="preserve"> Méndez</t>
  </si>
  <si>
    <t>MARIA INES</t>
  </si>
  <si>
    <t xml:space="preserve"> SANCHEZ </t>
  </si>
  <si>
    <t xml:space="preserve">ALEGRÍA </t>
  </si>
  <si>
    <t>Cortés</t>
  </si>
  <si>
    <t>Marco Antonio</t>
  </si>
  <si>
    <t>Rabadan</t>
  </si>
  <si>
    <t xml:space="preserve">Terminal Multimodal Cancún </t>
  </si>
  <si>
    <t xml:space="preserve"> Salvador Robledo</t>
  </si>
  <si>
    <t>Zavala</t>
  </si>
  <si>
    <t>Robledo</t>
  </si>
  <si>
    <t xml:space="preserve">Frente 9 SJR </t>
  </si>
  <si>
    <t>Piel de Ángel</t>
  </si>
  <si>
    <t>Larena</t>
  </si>
  <si>
    <t>Jorge Ivan</t>
  </si>
  <si>
    <t>Díaz</t>
  </si>
  <si>
    <t>González</t>
  </si>
  <si>
    <t>TERMIANL CARGA CANCUN</t>
  </si>
  <si>
    <t xml:space="preserve">AURORA </t>
  </si>
  <si>
    <t xml:space="preserve">ESTRADA </t>
  </si>
  <si>
    <t>Osvaldo</t>
  </si>
  <si>
    <t xml:space="preserve">Cabrera </t>
  </si>
  <si>
    <t xml:space="preserve"> Rios</t>
  </si>
  <si>
    <t>RAUL</t>
  </si>
  <si>
    <t>JOSE IVAN</t>
  </si>
  <si>
    <t>BRENDA DANIELA</t>
  </si>
  <si>
    <t xml:space="preserve">MITZI </t>
  </si>
  <si>
    <t>CALVILLO</t>
  </si>
  <si>
    <t>DENISSE ANDREA</t>
  </si>
  <si>
    <t>ALLENDE</t>
  </si>
  <si>
    <t>SELENE</t>
  </si>
  <si>
    <t xml:space="preserve">PRIETO </t>
  </si>
  <si>
    <t>ILEM</t>
  </si>
  <si>
    <t>ZABALA</t>
  </si>
  <si>
    <t>JUANA BELEN</t>
  </si>
  <si>
    <t>MESA DE ATENCION CIUDADANA Y TRANSPARENCIA</t>
  </si>
  <si>
    <t>OLITZAJAYA</t>
  </si>
  <si>
    <t>FRIAS</t>
  </si>
  <si>
    <t>MESA INGENIERIA ELECTRICA</t>
  </si>
  <si>
    <t>NATIVIDAD</t>
  </si>
  <si>
    <t>ING. BAS. LINEA  FERREA MAZATLAN LOS MOCHIS</t>
  </si>
  <si>
    <t>MITHZI PAOLA</t>
  </si>
  <si>
    <t>CHAVARRIA</t>
  </si>
  <si>
    <t>FRENTE 4 MEXICO QUERETARO</t>
  </si>
  <si>
    <t>ANA ELISE</t>
  </si>
  <si>
    <t>SERRANO</t>
  </si>
  <si>
    <t>CALLEJAS</t>
  </si>
  <si>
    <t>MARIA ZARE</t>
  </si>
  <si>
    <t>PALOMARES</t>
  </si>
  <si>
    <t>FP MEX QRO</t>
  </si>
  <si>
    <t xml:space="preserve">DIEGO </t>
  </si>
  <si>
    <t>F1 MEX QRO.</t>
  </si>
  <si>
    <t>JHOANA</t>
  </si>
  <si>
    <t>TERMINAL MULTIMODAL MEXICO CANCUN</t>
  </si>
  <si>
    <t>RUBEN ISAI</t>
  </si>
  <si>
    <t xml:space="preserve">ESCOBAR </t>
  </si>
  <si>
    <t>PAMELA</t>
  </si>
  <si>
    <t>GALVAN</t>
  </si>
  <si>
    <t>ESTUDIOS DE INGENIERIA BASICA QRO-SLP</t>
  </si>
  <si>
    <t>MAURILIO</t>
  </si>
  <si>
    <t>ISIDRO</t>
  </si>
  <si>
    <t>PERALTA</t>
  </si>
  <si>
    <t>F5 AIFA PACHUCA</t>
  </si>
  <si>
    <t>DANAE</t>
  </si>
  <si>
    <t xml:space="preserve">GUADARRAMA </t>
  </si>
  <si>
    <t>F7 RAMAL POXILA MERIDA Y POXILA HUNUCMA</t>
  </si>
  <si>
    <t>ARISMENDI</t>
  </si>
  <si>
    <t>MESA COMUNICACIÓN SOCIAL</t>
  </si>
  <si>
    <t>MYRIAM MICHAEL</t>
  </si>
  <si>
    <t>F5 AIFA PAHUCA</t>
  </si>
  <si>
    <t>MICHEL VANESA</t>
  </si>
  <si>
    <t>F5 TQM</t>
  </si>
  <si>
    <t>LERONARDO MOISES</t>
  </si>
  <si>
    <t>JASAEL</t>
  </si>
  <si>
    <t>CRESPO</t>
  </si>
  <si>
    <t>BNAVAL</t>
  </si>
  <si>
    <t>LAURA ESTEFANIA</t>
  </si>
  <si>
    <t>FRENTE 7</t>
  </si>
  <si>
    <t xml:space="preserve">VERONICA </t>
  </si>
  <si>
    <t>ANDONEGUI</t>
  </si>
  <si>
    <t xml:space="preserve">CLAUDIA </t>
  </si>
  <si>
    <t>RODELA</t>
  </si>
  <si>
    <t xml:space="preserve">MÓNICA PAOLA </t>
  </si>
  <si>
    <t>TRINIDAD</t>
  </si>
  <si>
    <t xml:space="preserve">MICHELLE </t>
  </si>
  <si>
    <t>GRANADOS</t>
  </si>
  <si>
    <t>VANESSA ANAHÍ</t>
  </si>
  <si>
    <t>CARAVEO</t>
  </si>
  <si>
    <t>GUIOMARA SAHAD</t>
  </si>
  <si>
    <t>MARICELA</t>
  </si>
  <si>
    <t xml:space="preserve">MARISSA J. </t>
  </si>
  <si>
    <t>SYDNEY</t>
  </si>
  <si>
    <t xml:space="preserve">SALAZAR </t>
  </si>
  <si>
    <t>MARTÍN</t>
  </si>
  <si>
    <t xml:space="preserve">GRANDE </t>
  </si>
  <si>
    <t xml:space="preserve">KAREN </t>
  </si>
  <si>
    <t>ESQUIVEL</t>
  </si>
  <si>
    <t>VALDEZ</t>
  </si>
  <si>
    <t>GALDAMEZ</t>
  </si>
  <si>
    <t xml:space="preserve">MEZA </t>
  </si>
  <si>
    <t>ANA SOFÍA</t>
  </si>
  <si>
    <t>RINCÓN</t>
  </si>
  <si>
    <t>LORENA ADRIANA</t>
  </si>
  <si>
    <t>LUZ ANGELICA</t>
  </si>
  <si>
    <t xml:space="preserve">JIMENEZ </t>
  </si>
  <si>
    <t xml:space="preserve">CHICA </t>
  </si>
  <si>
    <t xml:space="preserve">LIZBETH </t>
  </si>
  <si>
    <t>ODALYS</t>
  </si>
  <si>
    <t xml:space="preserve">HERNANDEZ </t>
  </si>
  <si>
    <t>ORTUÑO</t>
  </si>
  <si>
    <t>CANALES</t>
  </si>
  <si>
    <t>LIZETH</t>
  </si>
  <si>
    <t xml:space="preserve">PÉREZ </t>
  </si>
  <si>
    <t xml:space="preserve">MARYMAR </t>
  </si>
  <si>
    <t xml:space="preserve">MARIA JAQUELINE </t>
  </si>
  <si>
    <t>AILA</t>
  </si>
  <si>
    <t>DULCE ALEJANDRA</t>
  </si>
  <si>
    <t>SOFÍA GUADALUPE</t>
  </si>
  <si>
    <t xml:space="preserve">PEREZ </t>
  </si>
  <si>
    <t xml:space="preserve">SERVÍN </t>
  </si>
  <si>
    <t>FRENTE 4 AIFA PACHUCA</t>
  </si>
  <si>
    <t xml:space="preserve">ABRIL </t>
  </si>
  <si>
    <t>VILLALOBOS</t>
  </si>
  <si>
    <t xml:space="preserve">ADRIANA </t>
  </si>
  <si>
    <t xml:space="preserve">PIÑA </t>
  </si>
  <si>
    <t>XL</t>
  </si>
  <si>
    <t xml:space="preserve">ANA LILIA </t>
  </si>
  <si>
    <t xml:space="preserve">NATIVIDAD </t>
  </si>
  <si>
    <t xml:space="preserve">PINEDA </t>
  </si>
  <si>
    <t>MONDRAGÓN</t>
  </si>
  <si>
    <t xml:space="preserve">EVA </t>
  </si>
  <si>
    <t xml:space="preserve">YARICENI </t>
  </si>
  <si>
    <t>TANIA STEPHANY</t>
  </si>
  <si>
    <t>ENRIQUEZ</t>
  </si>
  <si>
    <t xml:space="preserve">MONSE </t>
  </si>
  <si>
    <t>FIERRO</t>
  </si>
  <si>
    <t xml:space="preserve">MARICELA </t>
  </si>
  <si>
    <t xml:space="preserve">GARCIA </t>
  </si>
  <si>
    <t xml:space="preserve">RIOS </t>
  </si>
  <si>
    <t>IRÁN ANTONIO</t>
  </si>
  <si>
    <t>VASQUEZ</t>
  </si>
  <si>
    <t xml:space="preserve">ARANGO </t>
  </si>
  <si>
    <t>ERICK IVÁN</t>
  </si>
  <si>
    <t>LUCATERO</t>
  </si>
  <si>
    <t>HERRERA</t>
  </si>
  <si>
    <t>LOAIZA</t>
  </si>
  <si>
    <t>MISAEL MARTÍN</t>
  </si>
  <si>
    <t>HUERTA</t>
  </si>
  <si>
    <t>ANTONIO RAM.</t>
  </si>
  <si>
    <t xml:space="preserve">SERGIO </t>
  </si>
  <si>
    <t xml:space="preserve">BETTO </t>
  </si>
  <si>
    <t>MIGUEL MATEO</t>
  </si>
  <si>
    <t xml:space="preserve">CERÓN </t>
  </si>
  <si>
    <t xml:space="preserve">CUREÑO </t>
  </si>
  <si>
    <t>ALAN ARMANDO</t>
  </si>
  <si>
    <t xml:space="preserve">CHRISTIAN LEONEL </t>
  </si>
  <si>
    <t>CHIMAL</t>
  </si>
  <si>
    <t xml:space="preserve">IVÁN </t>
  </si>
  <si>
    <t>LUIS ENRIQUE</t>
  </si>
  <si>
    <t>JOSÉ ENRIQUE</t>
  </si>
  <si>
    <t>GANTE</t>
  </si>
  <si>
    <t>CARLOS YOLTZIN</t>
  </si>
  <si>
    <t>RODOLFO</t>
  </si>
  <si>
    <t>ELIZONDO</t>
  </si>
  <si>
    <t xml:space="preserve"> SERRANO</t>
  </si>
  <si>
    <t>DAVID RODOLFO</t>
  </si>
  <si>
    <t>FEDERICO ARTEMIO</t>
  </si>
  <si>
    <t>NIETO</t>
  </si>
  <si>
    <t>XIMELO</t>
  </si>
  <si>
    <t xml:space="preserve">ENEDINO </t>
  </si>
  <si>
    <t>SALAS</t>
  </si>
  <si>
    <t>IVÁN MARIO</t>
  </si>
  <si>
    <t>CALDERÓN</t>
  </si>
  <si>
    <t>MARCELINO</t>
  </si>
  <si>
    <t>JOSÉ LUIS</t>
  </si>
  <si>
    <t>PIÑA</t>
  </si>
  <si>
    <t>JOSÉ ANTONIO</t>
  </si>
  <si>
    <t>RENDON</t>
  </si>
  <si>
    <t xml:space="preserve">LUIS ÁNGEL </t>
  </si>
  <si>
    <t xml:space="preserve">ADRIÁN ALEXANDER </t>
  </si>
  <si>
    <t xml:space="preserve">OSCAR </t>
  </si>
  <si>
    <t>ASTUDILLO</t>
  </si>
  <si>
    <t>VISUET</t>
  </si>
  <si>
    <t>ABIGAIL</t>
  </si>
  <si>
    <t xml:space="preserve">APOLONIO </t>
  </si>
  <si>
    <t>OLIVERA</t>
  </si>
  <si>
    <t>ALEJANDRA GUADALUPE</t>
  </si>
  <si>
    <t>NANCY</t>
  </si>
  <si>
    <t xml:space="preserve">SARABIA </t>
  </si>
  <si>
    <t xml:space="preserve">EVELYN FERNANDA </t>
  </si>
  <si>
    <t>MONCAYO</t>
  </si>
  <si>
    <t>ARLETH GISELLE</t>
  </si>
  <si>
    <t>ALARCÓN</t>
  </si>
  <si>
    <t xml:space="preserve">FRYDA </t>
  </si>
  <si>
    <t xml:space="preserve">GISELLE </t>
  </si>
  <si>
    <t xml:space="preserve">MARÍA BERTHA </t>
  </si>
  <si>
    <t xml:space="preserve">DOLORES </t>
  </si>
  <si>
    <t xml:space="preserve">PALMERO </t>
  </si>
  <si>
    <t>GERARDO</t>
  </si>
  <si>
    <t>AVILÉS</t>
  </si>
  <si>
    <t xml:space="preserve">JUAN DANIEL </t>
  </si>
  <si>
    <t>VILLAGRANA</t>
  </si>
  <si>
    <t>DAVID CLEMENCIO</t>
  </si>
  <si>
    <t xml:space="preserve">LORENZO </t>
  </si>
  <si>
    <t xml:space="preserve">GALVAN </t>
  </si>
  <si>
    <t>MIGUEL</t>
  </si>
  <si>
    <t xml:space="preserve">CRESCENCIO </t>
  </si>
  <si>
    <t>JÍMENEZ</t>
  </si>
  <si>
    <t>LUIS JESÚS</t>
  </si>
  <si>
    <t xml:space="preserve">RODRIGO </t>
  </si>
  <si>
    <t>NAVA</t>
  </si>
  <si>
    <t>MARCOS</t>
  </si>
  <si>
    <t>MORENO</t>
  </si>
  <si>
    <t>AXEL EDUARDO</t>
  </si>
  <si>
    <t>JOSÉ DANIEL</t>
  </si>
  <si>
    <t>JORDY RICARDO</t>
  </si>
  <si>
    <t xml:space="preserve">YOSMAR RIVERA </t>
  </si>
  <si>
    <t>ANGEL FRANCISCO</t>
  </si>
  <si>
    <t xml:space="preserve">MATA </t>
  </si>
  <si>
    <t xml:space="preserve"> ÁVILA</t>
  </si>
  <si>
    <t>EDGAR URIEL</t>
  </si>
  <si>
    <t xml:space="preserve">SAUCEDO </t>
  </si>
  <si>
    <t>PAMELA ITZEL</t>
  </si>
  <si>
    <t>VENEGAS</t>
  </si>
  <si>
    <t>AIDEE</t>
  </si>
  <si>
    <t>YESSENIA MONTSERRAT</t>
  </si>
  <si>
    <t>ESPINOSA</t>
  </si>
  <si>
    <t>ANA KAREN</t>
  </si>
  <si>
    <t>ALDANA</t>
  </si>
  <si>
    <t>ARANZA</t>
  </si>
  <si>
    <t>VÁSQUEZ</t>
  </si>
  <si>
    <t>MICHELLE</t>
  </si>
  <si>
    <t>DULCE SOLEDAD</t>
  </si>
  <si>
    <t>RÍOS</t>
  </si>
  <si>
    <t>CISNEROS</t>
  </si>
  <si>
    <t>JOANNA</t>
  </si>
  <si>
    <t>SARA</t>
  </si>
  <si>
    <t>DULCE IVÓN</t>
  </si>
  <si>
    <t>PRADO</t>
  </si>
  <si>
    <t>LEILANI</t>
  </si>
  <si>
    <t>YESICA</t>
  </si>
  <si>
    <t>ROMO</t>
  </si>
  <si>
    <t>MARÍA FERNANDA</t>
  </si>
  <si>
    <t>BRENDA PAOLA</t>
  </si>
  <si>
    <t>ALONDRA</t>
  </si>
  <si>
    <t>MARIELA MICHEL</t>
  </si>
  <si>
    <t>SAYURI</t>
  </si>
  <si>
    <t>VALERIA</t>
  </si>
  <si>
    <t>DE LA VEGA</t>
  </si>
  <si>
    <t>MONICA SELENE</t>
  </si>
  <si>
    <t>BIANKA VANESSA</t>
  </si>
  <si>
    <t>MONTSERRAT</t>
  </si>
  <si>
    <t>VALERIA YAHIMEL</t>
  </si>
  <si>
    <t>LANDA</t>
  </si>
  <si>
    <t>MÓNICA</t>
  </si>
  <si>
    <t>DAMIAN</t>
  </si>
  <si>
    <t>SANDRA MONCERRAT</t>
  </si>
  <si>
    <t>QUINTERO</t>
  </si>
  <si>
    <t>PRISCILA GUADALUPE</t>
  </si>
  <si>
    <t>WENDY</t>
  </si>
  <si>
    <t>DE LA ROSA</t>
  </si>
  <si>
    <t>DIANA PATRICIA</t>
  </si>
  <si>
    <t>ARENAS</t>
  </si>
  <si>
    <t>ANDREA MARIALY</t>
  </si>
  <si>
    <t>DE LUCIO</t>
  </si>
  <si>
    <t>FRIDA PAOLA</t>
  </si>
  <si>
    <t>MALDONADO</t>
  </si>
  <si>
    <t>RODAS</t>
  </si>
  <si>
    <t>ROJO</t>
  </si>
  <si>
    <t>DOMÍNGUEZ</t>
  </si>
  <si>
    <t>ATN. AUDS. INT. Y EXTS.</t>
  </si>
  <si>
    <t>F2</t>
  </si>
  <si>
    <t>MESA DE CONTROL AMBIENTAL</t>
  </si>
  <si>
    <t>FRENTE 6 TAP</t>
  </si>
  <si>
    <t>F1 AIFA-PACHUCA</t>
  </si>
  <si>
    <t>POXILÁ</t>
  </si>
  <si>
    <t>AIFA-PACHUCA, SUBESTACION DE TRACCIÓN F1</t>
  </si>
  <si>
    <t>F8 AIFA.PACHUCA</t>
  </si>
  <si>
    <t>F1 SLP-STL</t>
  </si>
  <si>
    <t>MCAYS</t>
  </si>
  <si>
    <t>MESA ATN. AUD. INT. EXT.</t>
  </si>
  <si>
    <t>F1 QRO-SLP</t>
  </si>
  <si>
    <t>MESA CONTROL AMBIENTAL Y SUSTENTABILIDAD</t>
  </si>
  <si>
    <t>YOLANDA</t>
  </si>
  <si>
    <t>ANA PILAR</t>
  </si>
  <si>
    <t>ALEJANDRINA</t>
  </si>
  <si>
    <t>BERENICE</t>
  </si>
  <si>
    <t>MARTHA MARIBEL</t>
  </si>
  <si>
    <t>ALCÁNTARA</t>
  </si>
  <si>
    <t>DORICELA</t>
  </si>
  <si>
    <t>CORDERO</t>
  </si>
  <si>
    <t>ACOSTA</t>
  </si>
  <si>
    <t>GIL</t>
  </si>
  <si>
    <t>MESA DE CONTROL AMBIENTAL Y SUSTENTABILIDAD</t>
  </si>
  <si>
    <t>AIFA-PACHUCA, SUBESTACION DE TRACCION F1</t>
  </si>
  <si>
    <t>ANAYELI</t>
  </si>
  <si>
    <t>ITANDEHUI</t>
  </si>
  <si>
    <t>VELASCO</t>
  </si>
  <si>
    <t>JOVANA</t>
  </si>
  <si>
    <t>SAN JUAN</t>
  </si>
  <si>
    <t>AIFA-PACHUCA, SUBESTACIONES DE TRACCIÓN F1</t>
  </si>
  <si>
    <t>CLAUDIA</t>
  </si>
  <si>
    <t>OLGUÍN</t>
  </si>
  <si>
    <t>CANDELARIA</t>
  </si>
  <si>
    <t>REY DAVID</t>
  </si>
  <si>
    <t>JORGE EMILIO</t>
  </si>
  <si>
    <t>FRANCISCO</t>
  </si>
  <si>
    <t>EDUARDO</t>
  </si>
  <si>
    <t>ACEVEDO</t>
  </si>
  <si>
    <t>BLANCO</t>
  </si>
  <si>
    <t>TORREBLANCA</t>
  </si>
  <si>
    <t>ALDO FILIBERTO</t>
  </si>
  <si>
    <t>TAPIA</t>
  </si>
  <si>
    <t>CESAR</t>
  </si>
  <si>
    <t>JAFFET</t>
  </si>
  <si>
    <t>JOSÉ MARIA</t>
  </si>
  <si>
    <t>LIRA</t>
  </si>
  <si>
    <t>LAGUNES</t>
  </si>
  <si>
    <t>IVAN</t>
  </si>
  <si>
    <t>CORRAL</t>
  </si>
  <si>
    <t>EINAR ALEJANDRO</t>
  </si>
  <si>
    <t>MIGUEL ANTONIO</t>
  </si>
  <si>
    <t>SOLANO</t>
  </si>
  <si>
    <t>ROBERTO ALFONSO</t>
  </si>
  <si>
    <t>OMAR ALEXANDER</t>
  </si>
  <si>
    <t>BALAM</t>
  </si>
  <si>
    <t>DZIDZ</t>
  </si>
  <si>
    <t>MELÉNDEZ</t>
  </si>
  <si>
    <t>ROBERTO CARLOS</t>
  </si>
  <si>
    <t>VALDESPINO</t>
  </si>
  <si>
    <t>MATEO</t>
  </si>
  <si>
    <t>JESÚS</t>
  </si>
  <si>
    <t>EMMANUEL ULISES</t>
  </si>
  <si>
    <t>SERGIO JESÚS</t>
  </si>
  <si>
    <t>LUIS OMAR</t>
  </si>
  <si>
    <t xml:space="preserve">JORGE  </t>
  </si>
  <si>
    <t>V.DANIEL</t>
  </si>
  <si>
    <t>CEBALLOS</t>
  </si>
  <si>
    <t>TORRALBA</t>
  </si>
  <si>
    <t>CESAR ALEJANDRO</t>
  </si>
  <si>
    <t>MESA DE GEOTECNIA, GEOLOGIA Y GEOFISICA</t>
  </si>
  <si>
    <t>F1 SET Y M</t>
  </si>
  <si>
    <t>F1 SUBESTACIONES DE TRACCION</t>
  </si>
  <si>
    <t>MESA DE ACÚSTICA Y VIBRACIÓN</t>
  </si>
  <si>
    <t>F8 MÉX-QRO</t>
  </si>
  <si>
    <t>F1 MÉX-QRO</t>
  </si>
  <si>
    <t>MESA TOPOGRAFÍA LIDAR Y FOTOGRAMETRÍA</t>
  </si>
  <si>
    <t>CONTROL AMBIENTAL</t>
  </si>
  <si>
    <t>F10 MÉX-QRO</t>
  </si>
  <si>
    <t>MESA INGRÍA ELEC</t>
  </si>
  <si>
    <t>JESÚS MIGUEL</t>
  </si>
  <si>
    <t>CETINA</t>
  </si>
  <si>
    <t>MARTIN</t>
  </si>
  <si>
    <t>JOSÉ ARMANDO</t>
  </si>
  <si>
    <t>SOCKERT</t>
  </si>
  <si>
    <t xml:space="preserve">LUIS  </t>
  </si>
  <si>
    <t>XXXL</t>
  </si>
  <si>
    <t>DIEGO MISHAEL</t>
  </si>
  <si>
    <t>JAIME GERARDO</t>
  </si>
  <si>
    <t>JUVENTINO</t>
  </si>
  <si>
    <t>QUINTANA</t>
  </si>
  <si>
    <t>CENTRO DE TRANSFERENCIA DE CARGA POXILÁ</t>
  </si>
  <si>
    <t>AIFA-PACHUCA, SUBESTACIÓN DE TRACCIÓN F2</t>
  </si>
  <si>
    <t>TPMPF1</t>
  </si>
  <si>
    <t>SUBJFA. LOGISTICA</t>
  </si>
  <si>
    <t>F1 AIFA-PACHUCA, SUBESTACIÓN DE TRACCIÓN</t>
  </si>
  <si>
    <t>JESUS MARIANO</t>
  </si>
  <si>
    <t>GUILLEN</t>
  </si>
  <si>
    <t>FRANCISCO DANIEL</t>
  </si>
  <si>
    <t>AYOTITLA</t>
  </si>
  <si>
    <t>LUIS ANGEL</t>
  </si>
  <si>
    <t>OLIVARES</t>
  </si>
  <si>
    <t>JUAN</t>
  </si>
  <si>
    <t>ROYER IRWIN</t>
  </si>
  <si>
    <t>CORDOVA</t>
  </si>
  <si>
    <t>LUIS ALBERTO</t>
  </si>
  <si>
    <t>ESQUINCA</t>
  </si>
  <si>
    <t>YAIR AGUSTÍN</t>
  </si>
  <si>
    <t>TMQ-F2</t>
  </si>
  <si>
    <t>JUAN ALEJANDRO</t>
  </si>
  <si>
    <t>BAUTIST</t>
  </si>
  <si>
    <t>MANUEL</t>
  </si>
  <si>
    <t>ARCOS</t>
  </si>
  <si>
    <t>MESA ARCHIVO REV. ADQS. Y CTL. CONTAB</t>
  </si>
  <si>
    <t>PASTRANA</t>
  </si>
  <si>
    <t>RICAÑO</t>
  </si>
  <si>
    <t>ROSAS</t>
  </si>
  <si>
    <t>MARÍA NERY</t>
  </si>
  <si>
    <t>FRANCO</t>
  </si>
  <si>
    <t>ENELY ISAMAR</t>
  </si>
  <si>
    <t>ARLETT</t>
  </si>
  <si>
    <t>ROA</t>
  </si>
  <si>
    <t>MARGY</t>
  </si>
  <si>
    <t>PASCACIO</t>
  </si>
  <si>
    <t>ITZEL GUADALUPE</t>
  </si>
  <si>
    <t>GAMERO</t>
  </si>
  <si>
    <t>MARIA LIZBETH</t>
  </si>
  <si>
    <t>GABRIELA DE JESUS</t>
  </si>
  <si>
    <t>CASILLAS</t>
  </si>
  <si>
    <t>VANESSA GUADALUPE</t>
  </si>
  <si>
    <t>FRENTE 6 TREN MEX-QRO</t>
  </si>
  <si>
    <t>LEONARDO</t>
  </si>
  <si>
    <t>NICOLAS</t>
  </si>
  <si>
    <t>SERGIO</t>
  </si>
  <si>
    <t>JOSUÉ</t>
  </si>
  <si>
    <t>CARREÑO</t>
  </si>
  <si>
    <t>TOLEDANO</t>
  </si>
  <si>
    <t>PAHUA</t>
  </si>
  <si>
    <t>CASIANO</t>
  </si>
  <si>
    <t>REYES DAVID</t>
  </si>
  <si>
    <t>EDZAI</t>
  </si>
  <si>
    <t>ATILANO</t>
  </si>
  <si>
    <t>HERIBERTO ALFREDO</t>
  </si>
  <si>
    <t>LEÓN</t>
  </si>
  <si>
    <t>DYLAN</t>
  </si>
  <si>
    <t>CRISTHOFER ALTAHID</t>
  </si>
  <si>
    <t>VICTOR MANUEL</t>
  </si>
  <si>
    <t>SALOMÓN</t>
  </si>
  <si>
    <t>BUCIO</t>
  </si>
  <si>
    <t>CHRYSTOPER</t>
  </si>
  <si>
    <t>CITALLI KAREN</t>
  </si>
  <si>
    <t xml:space="preserve">Angel </t>
  </si>
  <si>
    <t xml:space="preserve"> Aparicio</t>
  </si>
  <si>
    <t>MEX. QRO. FRENTE 6</t>
  </si>
  <si>
    <t xml:space="preserve">HUMBERTO </t>
  </si>
  <si>
    <t xml:space="preserve">PASCUAL </t>
  </si>
  <si>
    <t>MESA DE MANTO.  AUTZ.</t>
  </si>
  <si>
    <t>BRENDA MARIEL</t>
  </si>
  <si>
    <t xml:space="preserve">GÓMEZ </t>
  </si>
  <si>
    <t xml:space="preserve"> GARCÍA</t>
  </si>
  <si>
    <t>F5 MEX/QRO</t>
  </si>
  <si>
    <t xml:space="preserve"> JOEL</t>
  </si>
  <si>
    <t xml:space="preserve">JUÁREZ </t>
  </si>
  <si>
    <t xml:space="preserve">CARLOS ELÍAS </t>
  </si>
  <si>
    <t>Frente 11</t>
  </si>
  <si>
    <t>JONATHAN ARMANDO</t>
  </si>
  <si>
    <t>FRENTE 7 TREN DE CARGA</t>
  </si>
  <si>
    <t xml:space="preserve">LUCIA MACARENA </t>
  </si>
  <si>
    <t xml:space="preserve">VELARDE </t>
  </si>
  <si>
    <t xml:space="preserve">SUÁREZ </t>
  </si>
  <si>
    <t>FRENTE 5 MÉX.-QRO</t>
  </si>
  <si>
    <t>ARIADNA IVON</t>
  </si>
  <si>
    <t xml:space="preserve">RAMIREZ </t>
  </si>
  <si>
    <t>JOSÉ ROBERTO</t>
  </si>
  <si>
    <t xml:space="preserve">Alba Yosselyn </t>
  </si>
  <si>
    <t xml:space="preserve"> Urias</t>
  </si>
  <si>
    <t>Sandoval</t>
  </si>
  <si>
    <t>Mesa de Ingeniería eléctrica y equipamiento industrial</t>
  </si>
  <si>
    <t xml:space="preserve">flores </t>
  </si>
  <si>
    <t xml:space="preserve">bautista </t>
  </si>
  <si>
    <t>LUIS DAVID</t>
  </si>
  <si>
    <t>MESA DE ARQUITECTURA</t>
  </si>
  <si>
    <t xml:space="preserve">Fernanda </t>
  </si>
  <si>
    <t>MESA DE CAMPAMENTO</t>
  </si>
  <si>
    <t xml:space="preserve">GUILLERMO </t>
  </si>
  <si>
    <t xml:space="preserve">MARÍA DE JESÚS </t>
  </si>
  <si>
    <t xml:space="preserve">MARTÍNEZ </t>
  </si>
  <si>
    <t xml:space="preserve">JORGE DE JESÚS </t>
  </si>
  <si>
    <t>DURAN</t>
  </si>
  <si>
    <t xml:space="preserve">MAURICIO ISRAEL </t>
  </si>
  <si>
    <t xml:space="preserve">JOSÉ FERNANDO </t>
  </si>
  <si>
    <t xml:space="preserve">CARLOS </t>
  </si>
  <si>
    <t xml:space="preserve">JOSÉ DIEGO </t>
  </si>
  <si>
    <t xml:space="preserve"> abel eleazar</t>
  </si>
  <si>
    <t xml:space="preserve"> reyes</t>
  </si>
  <si>
    <t xml:space="preserve">navarro </t>
  </si>
  <si>
    <t>TIC</t>
  </si>
  <si>
    <t>Andrea Rocío</t>
  </si>
  <si>
    <t>Lucas</t>
  </si>
  <si>
    <t xml:space="preserve">ortega </t>
  </si>
  <si>
    <t xml:space="preserve"> Frente 7</t>
  </si>
  <si>
    <t xml:space="preserve">Óscar Heriberto </t>
  </si>
  <si>
    <t xml:space="preserve">Ríos </t>
  </si>
  <si>
    <t xml:space="preserve"> López</t>
  </si>
  <si>
    <t>Frente 4 Mex-Qro.</t>
  </si>
  <si>
    <t xml:space="preserve">EDGAR </t>
  </si>
  <si>
    <t xml:space="preserve">MENDOZA </t>
  </si>
  <si>
    <t>FRENTE 1 MEX-QRO</t>
  </si>
  <si>
    <t>MÓNICA PAULINA</t>
  </si>
  <si>
    <t xml:space="preserve">OLVERA </t>
  </si>
  <si>
    <t>FRENTE: 1 MÉX-QRO</t>
  </si>
  <si>
    <t>ROBERTO CESAR</t>
  </si>
  <si>
    <t>NEPOMUCENO</t>
  </si>
  <si>
    <t>ESLAVA</t>
  </si>
  <si>
    <t>Amairani Paola</t>
  </si>
  <si>
    <t>Frente 1 Méx-Qro</t>
  </si>
  <si>
    <t>LUZ VANESSA</t>
  </si>
  <si>
    <t xml:space="preserve">ARROYO </t>
  </si>
  <si>
    <t>F9 MEX-QRO</t>
  </si>
  <si>
    <t>NAHIN ISMAEL</t>
  </si>
  <si>
    <t>MURILLO</t>
  </si>
  <si>
    <t>ITEyPF ACÚSTICA Y VIBRACIÓN</t>
  </si>
  <si>
    <t>Oscar Ivan</t>
  </si>
  <si>
    <t>Lozano</t>
  </si>
  <si>
    <t xml:space="preserve">León </t>
  </si>
  <si>
    <t>ITEyPF (Sistemas Eléctricos de Tracción Ferroviaria)</t>
  </si>
  <si>
    <t>Miguel Angel</t>
  </si>
  <si>
    <t xml:space="preserve">Alejandres </t>
  </si>
  <si>
    <t xml:space="preserve">Cruz </t>
  </si>
  <si>
    <t>SUBJEFATURA ESTUDIOS Y PROYECTOS</t>
  </si>
  <si>
    <t>CYNTHIA</t>
  </si>
  <si>
    <t>ARCINIEGA</t>
  </si>
  <si>
    <t>TMQ F9</t>
  </si>
  <si>
    <t xml:space="preserve"> INES </t>
  </si>
  <si>
    <t xml:space="preserve"> RUIZ</t>
  </si>
  <si>
    <t>TERMINAL MULTIMODAL CANCUN</t>
  </si>
  <si>
    <t xml:space="preserve">Alavez </t>
  </si>
  <si>
    <t>Martinez</t>
  </si>
  <si>
    <t>Lisandro</t>
  </si>
  <si>
    <t>F9-MEX-QRO</t>
  </si>
  <si>
    <t>Audon</t>
  </si>
  <si>
    <t xml:space="preserve">Villalba </t>
  </si>
  <si>
    <t xml:space="preserve">Gallardo </t>
  </si>
  <si>
    <t xml:space="preserve">Luis David </t>
  </si>
  <si>
    <t xml:space="preserve">Guevara </t>
  </si>
  <si>
    <t>Oliver</t>
  </si>
  <si>
    <t>Fajardo</t>
  </si>
  <si>
    <t xml:space="preserve">Lucero Aylin </t>
  </si>
  <si>
    <t>Antonio</t>
  </si>
  <si>
    <t xml:space="preserve">Frente 1 Mex-Qro </t>
  </si>
  <si>
    <t>EDGAR</t>
  </si>
  <si>
    <t xml:space="preserve">QUIROZ </t>
  </si>
  <si>
    <t xml:space="preserve">ARIAS  </t>
  </si>
  <si>
    <t>AGUSTIN</t>
  </si>
  <si>
    <t xml:space="preserve">GUZMÁN </t>
  </si>
  <si>
    <t xml:space="preserve">Cristopher Tomas </t>
  </si>
  <si>
    <t>CHILACA</t>
  </si>
  <si>
    <t>GALICIA</t>
  </si>
  <si>
    <t>Frente 6 MEX-QRO</t>
  </si>
  <si>
    <t>Gilberto David</t>
  </si>
  <si>
    <t xml:space="preserve">Ortega </t>
  </si>
  <si>
    <t xml:space="preserve">Frente 4 México Querétaro </t>
  </si>
  <si>
    <t xml:space="preserve">LOPEZ </t>
  </si>
  <si>
    <t>DIANA LAURA</t>
  </si>
  <si>
    <t>ENCISO</t>
  </si>
  <si>
    <t>FRENTE 4, MÉXICO - QUERÉTARO</t>
  </si>
  <si>
    <t xml:space="preserve">JESUS OMAR </t>
  </si>
  <si>
    <t>SALGADO</t>
  </si>
  <si>
    <t>CID</t>
  </si>
  <si>
    <t>FRENTE 5 MEX-QRO</t>
  </si>
  <si>
    <t>YARED</t>
  </si>
  <si>
    <t>MINUTTI</t>
  </si>
  <si>
    <t>BAM6</t>
  </si>
  <si>
    <t>ABNER DAVID</t>
  </si>
  <si>
    <t>CABALLERO</t>
  </si>
  <si>
    <t>ESTUDIOS DE EJECUCIÓN MÉX-QRO.</t>
  </si>
  <si>
    <t xml:space="preserve">TENORIO </t>
  </si>
  <si>
    <t>FRENTE 6 MÉXICO-QUERETARO</t>
  </si>
  <si>
    <t xml:space="preserve">LUIS ENRIQUE </t>
  </si>
  <si>
    <t xml:space="preserve">MUÑOZ </t>
  </si>
  <si>
    <t>JIMENA</t>
  </si>
  <si>
    <t xml:space="preserve">LÓPEZ </t>
  </si>
  <si>
    <t>FRENTE 6, MÉXICO - QUERÉTARO</t>
  </si>
  <si>
    <t>GUADALUPE PAOLA</t>
  </si>
  <si>
    <t>HURTADO</t>
  </si>
  <si>
    <t xml:space="preserve">BADILLO </t>
  </si>
  <si>
    <t>QUEREN OLIVIA</t>
  </si>
  <si>
    <t>MORA</t>
  </si>
  <si>
    <t xml:space="preserve">RAMÍREZ </t>
  </si>
  <si>
    <t>MESA AUDITORÍAS</t>
  </si>
  <si>
    <t xml:space="preserve">LUIS DIEGO </t>
  </si>
  <si>
    <t xml:space="preserve">CORTES </t>
  </si>
  <si>
    <t>ELADIO</t>
  </si>
  <si>
    <t xml:space="preserve"> ISLAS</t>
  </si>
  <si>
    <t>ESTUDIOS DE EJECUCIÓN MEX-QRO</t>
  </si>
  <si>
    <t xml:space="preserve">RUBELIO </t>
  </si>
  <si>
    <t>IFNP-LFMQ-F3</t>
  </si>
  <si>
    <t>DYLAN AXELL</t>
  </si>
  <si>
    <t xml:space="preserve"> JIMENEZ</t>
  </si>
  <si>
    <t>ITEyPF</t>
  </si>
  <si>
    <t xml:space="preserve">Brenda Josefina </t>
  </si>
  <si>
    <t>Navarro</t>
  </si>
  <si>
    <t>Rios</t>
  </si>
  <si>
    <t xml:space="preserve">ALAN ANTONIO </t>
  </si>
  <si>
    <t xml:space="preserve">MÉNDEZ </t>
  </si>
  <si>
    <t>CÓRDOBA</t>
  </si>
  <si>
    <t xml:space="preserve">Kevin Eduardo </t>
  </si>
  <si>
    <t xml:space="preserve">Olvera </t>
  </si>
  <si>
    <t xml:space="preserve">Rodríguez </t>
  </si>
  <si>
    <t>ITEyPF (SCTOCC</t>
  </si>
  <si>
    <t>Amairani Gabriela</t>
  </si>
  <si>
    <t>Ochoa</t>
  </si>
  <si>
    <t>Tapia</t>
  </si>
  <si>
    <t>PALOMEC</t>
  </si>
  <si>
    <t xml:space="preserve">DANIELA </t>
  </si>
  <si>
    <t>FRENTE 5 MÉX-QRO</t>
  </si>
  <si>
    <t xml:space="preserve">VALERIA GUADALUPE </t>
  </si>
  <si>
    <t>CHAIRES</t>
  </si>
  <si>
    <t>FRENTE 5, MÉXICO - QUERÉTARO</t>
  </si>
  <si>
    <t xml:space="preserve">Kitzia </t>
  </si>
  <si>
    <t>Cano</t>
  </si>
  <si>
    <t>RENE GENARO</t>
  </si>
  <si>
    <t>DECARO</t>
  </si>
  <si>
    <t xml:space="preserve">FRAGOSO </t>
  </si>
  <si>
    <t xml:space="preserve">Maya </t>
  </si>
  <si>
    <t xml:space="preserve"> Sarahi </t>
  </si>
  <si>
    <t xml:space="preserve">Alejandra </t>
  </si>
  <si>
    <t xml:space="preserve">Frente 1 Estudios de ejecución  </t>
  </si>
  <si>
    <t>Osorno</t>
  </si>
  <si>
    <t>Frente 4 México Queretaro</t>
  </si>
  <si>
    <t>Contreras</t>
  </si>
  <si>
    <t xml:space="preserve">Abraham Alexis </t>
  </si>
  <si>
    <t>Ruiz</t>
  </si>
  <si>
    <t>Jimenez</t>
  </si>
  <si>
    <t>Frente 1 AIFA-PACHUCA</t>
  </si>
  <si>
    <t>Dylan Arturo</t>
  </si>
  <si>
    <t>Gámez</t>
  </si>
  <si>
    <t>Canché</t>
  </si>
  <si>
    <t>Frente 1 Aifa-Pachuca</t>
  </si>
  <si>
    <t xml:space="preserve">RAFAEL </t>
  </si>
  <si>
    <t>FRENTE 1 AIFA-PACHUCA</t>
  </si>
  <si>
    <t>JOHNY LOANY</t>
  </si>
  <si>
    <t>LAZARO</t>
  </si>
  <si>
    <t>ASCENCIO</t>
  </si>
  <si>
    <t>Servicio de Alimentación</t>
  </si>
  <si>
    <t xml:space="preserve">Oscar Ariel </t>
  </si>
  <si>
    <t>Montes</t>
  </si>
  <si>
    <t>Saavedra</t>
  </si>
  <si>
    <t>Frente 1 Estudios de Ejecución</t>
  </si>
  <si>
    <t>Diana</t>
  </si>
  <si>
    <t>Oliveros</t>
  </si>
  <si>
    <t xml:space="preserve">Frente 4 México-Querétaro </t>
  </si>
  <si>
    <t>BIANCA GEORGINA</t>
  </si>
  <si>
    <t xml:space="preserve"> LÓPEZ </t>
  </si>
  <si>
    <t xml:space="preserve"> F5 MEX/QRO</t>
  </si>
  <si>
    <t xml:space="preserve">RICARDO </t>
  </si>
  <si>
    <t>GODINEZ</t>
  </si>
  <si>
    <t>BASTIDA</t>
  </si>
  <si>
    <t>Mesa de Diseño Geométrico de Vía Férrea</t>
  </si>
  <si>
    <t>JORGE EDUARDO</t>
  </si>
  <si>
    <t>BAM 6</t>
  </si>
  <si>
    <t xml:space="preserve">IRVIN RODRIGO </t>
  </si>
  <si>
    <t xml:space="preserve">BECERRA </t>
  </si>
  <si>
    <t>Juan Carlos</t>
  </si>
  <si>
    <t>Gonzalez</t>
  </si>
  <si>
    <t>Pastor</t>
  </si>
  <si>
    <t>Frente: 5</t>
  </si>
  <si>
    <t>Luis Alberto</t>
  </si>
  <si>
    <t>Herrera</t>
  </si>
  <si>
    <t>Ybarra</t>
  </si>
  <si>
    <t>F4 Mex-Qro</t>
  </si>
  <si>
    <t xml:space="preserve">Edgar </t>
  </si>
  <si>
    <t>Castillo</t>
  </si>
  <si>
    <t>Mesa: Atención Ciudadana y Transparencia</t>
  </si>
  <si>
    <t>DELFINO</t>
  </si>
  <si>
    <t>ISLAS</t>
  </si>
  <si>
    <t>FRENTE 1 ESTUDIOS DE EJECUCIÓN</t>
  </si>
  <si>
    <t xml:space="preserve">Jose Luis </t>
  </si>
  <si>
    <t>Narvaez</t>
  </si>
  <si>
    <t xml:space="preserve">Jarquín </t>
  </si>
  <si>
    <t>AIFA-Pachuca, subestación de tracción F 1</t>
  </si>
  <si>
    <t>Mayte Guadalupe</t>
  </si>
  <si>
    <t xml:space="preserve">Domínguez </t>
  </si>
  <si>
    <t>Frente 1. Tren de Pasajeros México-Querétaro</t>
  </si>
  <si>
    <t>Mirna</t>
  </si>
  <si>
    <t xml:space="preserve">Vargas </t>
  </si>
  <si>
    <t>Zacatenco</t>
  </si>
  <si>
    <t>Frente 4 Mex-Qro</t>
  </si>
  <si>
    <t>Vargas</t>
  </si>
  <si>
    <t xml:space="preserve"> Aylin Amelia</t>
  </si>
  <si>
    <t>Pacheco</t>
  </si>
  <si>
    <t>ALEXA</t>
  </si>
  <si>
    <t>MEMBRILLO</t>
  </si>
  <si>
    <t>AHTZIRI AMAIRANI</t>
  </si>
  <si>
    <t>ZALDIVAR</t>
  </si>
  <si>
    <t>MESA: ATN. AUDS. INTS. Y EXTS.</t>
  </si>
  <si>
    <t>LIZETH ESMERALDA</t>
  </si>
  <si>
    <t>TOXQUI</t>
  </si>
  <si>
    <t>CUAHUEY</t>
  </si>
  <si>
    <t>FRENTE 1 E.E MEX-QRO</t>
  </si>
  <si>
    <t xml:space="preserve">PERLA NOHEMI </t>
  </si>
  <si>
    <t xml:space="preserve">MOLINA </t>
  </si>
  <si>
    <t>CAMARÓN</t>
  </si>
  <si>
    <t>Karla Belén</t>
  </si>
  <si>
    <t xml:space="preserve">Durán </t>
  </si>
  <si>
    <t>Castellanos</t>
  </si>
  <si>
    <t>Frente 1 Tren México-Querétaro</t>
  </si>
  <si>
    <t>ATENAS</t>
  </si>
  <si>
    <t>OLAVARRÍA</t>
  </si>
  <si>
    <t>FRENTE: MEX.-QRO FRENTE 2</t>
  </si>
  <si>
    <t xml:space="preserve">MARIA GUADALUPE </t>
  </si>
  <si>
    <t>MESA O FRENTE EN QUE LABORAN: MÉX-QRO FRENTE2</t>
  </si>
  <si>
    <t>Rocio</t>
  </si>
  <si>
    <t xml:space="preserve">Frente 4 Méx Querétaro </t>
  </si>
  <si>
    <t xml:space="preserve">Narda Kenet Ruby Esmeralda </t>
  </si>
  <si>
    <t xml:space="preserve">Sánchez </t>
  </si>
  <si>
    <t>Huitrón</t>
  </si>
  <si>
    <t>Centro de Transferencia de Carga Poxilá</t>
  </si>
  <si>
    <t>NERI</t>
  </si>
  <si>
    <t xml:space="preserve">MEJÍA </t>
  </si>
  <si>
    <t>FALTA EL NOMBRE</t>
  </si>
  <si>
    <t>MÉX-QRO FRENTE 11</t>
  </si>
  <si>
    <t>José Antonio</t>
  </si>
  <si>
    <t>Guzmán</t>
  </si>
  <si>
    <t>Frente 1 México-Querétaro</t>
  </si>
  <si>
    <t xml:space="preserve">MONTIJO </t>
  </si>
  <si>
    <t>Alan Giovanni</t>
  </si>
  <si>
    <t>Albarrán</t>
  </si>
  <si>
    <t xml:space="preserve">Olán </t>
  </si>
  <si>
    <t>Frente 1 México- Querétaro</t>
  </si>
  <si>
    <t xml:space="preserve"> ITAII </t>
  </si>
  <si>
    <t xml:space="preserve"> RECINTO DE MEMORIA MILITAR</t>
  </si>
  <si>
    <t>GUADALUPE ESTEFANÍA</t>
  </si>
  <si>
    <t>SALMORAN</t>
  </si>
  <si>
    <t>TAP-F1</t>
  </si>
  <si>
    <t>MEX-QRO ESTUDIOS DE EJECUCIÓN, F1</t>
  </si>
  <si>
    <t>JUAN DANIEL</t>
  </si>
  <si>
    <t>FRENTE: 02</t>
  </si>
  <si>
    <t xml:space="preserve">GABRIELA </t>
  </si>
  <si>
    <t xml:space="preserve">FERNANDEZ </t>
  </si>
  <si>
    <t>MEX.-QRO</t>
  </si>
  <si>
    <t>JOSUE SAUL</t>
  </si>
  <si>
    <t xml:space="preserve">ROBLES </t>
  </si>
  <si>
    <t xml:space="preserve">CRUZ </t>
  </si>
  <si>
    <t>Frente: 4 AIFA-PACH</t>
  </si>
  <si>
    <t>JARED GIOVANNI</t>
  </si>
  <si>
    <t xml:space="preserve"> PÉREZ</t>
  </si>
  <si>
    <t xml:space="preserve">JOSE BENIGNO </t>
  </si>
  <si>
    <t>SANDRA LORENA</t>
  </si>
  <si>
    <t xml:space="preserve">CARPIO </t>
  </si>
  <si>
    <t>TIROS</t>
  </si>
  <si>
    <t>ALAN ARTURO</t>
  </si>
  <si>
    <t>LINARTE</t>
  </si>
  <si>
    <t>MESA DE PLATAFORMA Y VÍA.</t>
  </si>
  <si>
    <t>ANGEL CRIZELL</t>
  </si>
  <si>
    <t>ANAHÍ</t>
  </si>
  <si>
    <t>F5</t>
  </si>
  <si>
    <t>INGENIERÍA BÁSICA / MAZATLÁN-LOS MOCHIS</t>
  </si>
  <si>
    <t xml:space="preserve">ABEL SEIR  </t>
  </si>
  <si>
    <t xml:space="preserve">JIMÉNEZ </t>
  </si>
  <si>
    <t>MESA DE PLATAFORMA Y VÍA</t>
  </si>
  <si>
    <t>VICTOR</t>
  </si>
  <si>
    <t>OLGUIN</t>
  </si>
  <si>
    <t xml:space="preserve">LEON </t>
  </si>
  <si>
    <t xml:space="preserve">MARIA FERNANDA </t>
  </si>
  <si>
    <t>FUENTES</t>
  </si>
  <si>
    <t xml:space="preserve">REYES </t>
  </si>
  <si>
    <t>FRENTE 2 MEX QRO</t>
  </si>
  <si>
    <t xml:space="preserve">RANULFO </t>
  </si>
  <si>
    <t xml:space="preserve">TEXIS </t>
  </si>
  <si>
    <t>CADENA</t>
  </si>
  <si>
    <t xml:space="preserve">CARAZA </t>
  </si>
  <si>
    <t>MELISSA</t>
  </si>
  <si>
    <t xml:space="preserve">GUEVARA </t>
  </si>
  <si>
    <t xml:space="preserve"> NIETO</t>
  </si>
  <si>
    <t>Frente: 11.</t>
  </si>
  <si>
    <t>VERONCIA ELUZAI</t>
  </si>
  <si>
    <t>MESA DE ESTRUCTURAS</t>
  </si>
  <si>
    <t xml:space="preserve"> FLORES</t>
  </si>
  <si>
    <t>TPMP F1</t>
  </si>
  <si>
    <t>ERIKA ABIGAIL</t>
  </si>
  <si>
    <t>FRENTE 11</t>
  </si>
  <si>
    <t>YARED TALIA</t>
  </si>
  <si>
    <t>FRENTE 7 RAMAL POXILA - MER RAMAL POXILA - HUN</t>
  </si>
  <si>
    <t xml:space="preserve"> EDUARDO  </t>
  </si>
  <si>
    <t>F2 MEX-QRO</t>
  </si>
  <si>
    <t>ESTUDIOS DE EJECUCIÓN ÁREA TÉCNICA</t>
  </si>
  <si>
    <t>Sebastian</t>
  </si>
  <si>
    <t>Ramos</t>
  </si>
  <si>
    <t xml:space="preserve"> Munguía</t>
  </si>
  <si>
    <t>CARLOS ALEJANDRO</t>
  </si>
  <si>
    <t xml:space="preserve">AGUIRRE </t>
  </si>
  <si>
    <t>MESA DE CONTROL DE EQUIPAMIENTO PERMANENTE Y NO PERMANENTE</t>
  </si>
  <si>
    <t>PABLO ARTURO</t>
  </si>
  <si>
    <t xml:space="preserve"> GONZÁLEZ</t>
  </si>
  <si>
    <t>Jessica</t>
  </si>
  <si>
    <t xml:space="preserve"> Hernandez</t>
  </si>
  <si>
    <t xml:space="preserve">Ctrl. Interno y Admón. de Riesgos </t>
  </si>
  <si>
    <t>MIREYA</t>
  </si>
  <si>
    <t xml:space="preserve">Ximena de Los Ángeles </t>
  </si>
  <si>
    <t xml:space="preserve">Jiménez </t>
  </si>
  <si>
    <t xml:space="preserve">Mesa: Acarros y Control de Materiales Donados </t>
  </si>
  <si>
    <t xml:space="preserve">Angeles </t>
  </si>
  <si>
    <t>ÁNGEL MANUEL</t>
  </si>
  <si>
    <t xml:space="preserve">SOSA </t>
  </si>
  <si>
    <t>FRENTE: F2 MEX-QRO</t>
  </si>
  <si>
    <t>LÁZARO</t>
  </si>
  <si>
    <t xml:space="preserve">IVAN JAVIER </t>
  </si>
  <si>
    <t xml:space="preserve"> FRENTE DE ESTUDIOS IRAPUATO-GUADALAJARA, COORDINACION DE SEÑALIZACION Y TELECOMUNICACIONES.</t>
  </si>
  <si>
    <t xml:space="preserve">Karla Ivonne </t>
  </si>
  <si>
    <t>Sanchez</t>
  </si>
  <si>
    <t>Mesa de Acarreos</t>
  </si>
  <si>
    <t>SEGUNDO</t>
  </si>
  <si>
    <t>MESA DE PLATAFROMA Y VÍA</t>
  </si>
  <si>
    <t>FRENTE 11 MEX-QRO</t>
  </si>
  <si>
    <t xml:space="preserve">Liliana </t>
  </si>
  <si>
    <t>Molina</t>
  </si>
  <si>
    <t>Escobar</t>
  </si>
  <si>
    <t>Mesa de Control Ambiental</t>
  </si>
  <si>
    <t>Eduardo</t>
  </si>
  <si>
    <t>Carranza</t>
  </si>
  <si>
    <t>Chávez</t>
  </si>
  <si>
    <t>B.A.M. 5</t>
  </si>
  <si>
    <t xml:space="preserve">Carlos Josué </t>
  </si>
  <si>
    <t xml:space="preserve"> Ramírez</t>
  </si>
  <si>
    <t>JAMELY</t>
  </si>
  <si>
    <t>FRENTE 5 MÉXICO-QUERÉTARO</t>
  </si>
  <si>
    <t xml:space="preserve">JESICA </t>
  </si>
  <si>
    <t xml:space="preserve">ILLESCAS </t>
  </si>
  <si>
    <t>MALAGON</t>
  </si>
  <si>
    <t>MESA: CONTROL AMBIENTAL Y SUSTENTABILIDAD</t>
  </si>
  <si>
    <t>EULOGIO</t>
  </si>
  <si>
    <t>Itzel</t>
  </si>
  <si>
    <t>Hernandez</t>
  </si>
  <si>
    <t>Frente 1</t>
  </si>
  <si>
    <t>Adriana</t>
  </si>
  <si>
    <t>Marcelo</t>
  </si>
  <si>
    <t>Mesa de Control Ambiental y Sustentabilidad</t>
  </si>
  <si>
    <t xml:space="preserve">Cristopher Alain </t>
  </si>
  <si>
    <t xml:space="preserve">Cuenca </t>
  </si>
  <si>
    <t>Villafuerte</t>
  </si>
  <si>
    <t>NANCY NELLY</t>
  </si>
  <si>
    <t xml:space="preserve">CHANG </t>
  </si>
  <si>
    <t>Ramal Poxilá-Mérida y Ramal Poxilá-Hunucmá” Frente 7</t>
  </si>
  <si>
    <t>FRENTE 2 MÉX-QRO</t>
  </si>
  <si>
    <t>SALMA OBED</t>
  </si>
  <si>
    <t>DIANA</t>
  </si>
  <si>
    <t>MEX-QRO F2</t>
  </si>
  <si>
    <t>ANGELA MARIANA</t>
  </si>
  <si>
    <t>NIEVES</t>
  </si>
  <si>
    <t>EVA ENID</t>
  </si>
  <si>
    <t>28 AÑOS</t>
  </si>
  <si>
    <t>LEIDI MONSERRAT</t>
  </si>
  <si>
    <t>29 AÑOS</t>
  </si>
  <si>
    <t>25 AÑOS</t>
  </si>
  <si>
    <t>DAFNE</t>
  </si>
  <si>
    <t>26 AÑOS</t>
  </si>
  <si>
    <t>KARLA TAMARA</t>
  </si>
  <si>
    <t>OTAMENDI</t>
  </si>
  <si>
    <t>30 AÑOS</t>
  </si>
  <si>
    <t>JESSICA YEMERI</t>
  </si>
  <si>
    <t>LOYOLA</t>
  </si>
  <si>
    <t>34 AÑOS</t>
  </si>
  <si>
    <t>MARÍA DE LOURDES</t>
  </si>
  <si>
    <t>MALVAEZ</t>
  </si>
  <si>
    <t>CINTHYA</t>
  </si>
  <si>
    <t>HUITRON</t>
  </si>
  <si>
    <t>CARRASCO</t>
  </si>
  <si>
    <t>MIROSBELEN BIBIANA</t>
  </si>
  <si>
    <t>MARÍA DELFINA</t>
  </si>
  <si>
    <t>ALEMÁN</t>
  </si>
  <si>
    <t>MARIANA AMAYRANI</t>
  </si>
  <si>
    <t>CINTHYA MAYTE</t>
  </si>
  <si>
    <t>DIANA KARINA</t>
  </si>
  <si>
    <t>MARINEIDY</t>
  </si>
  <si>
    <t>ZENIL</t>
  </si>
  <si>
    <t>DESIRÉE</t>
  </si>
  <si>
    <t>ARIADNA</t>
  </si>
  <si>
    <t>JOCELYN</t>
  </si>
  <si>
    <t>ROCIO</t>
  </si>
  <si>
    <t>IRAIS AISLIN</t>
  </si>
  <si>
    <t xml:space="preserve">KARLA  </t>
  </si>
  <si>
    <t>MONTES</t>
  </si>
  <si>
    <t>LOBATO</t>
  </si>
  <si>
    <t>VIANEY</t>
  </si>
  <si>
    <t>MARYCARMEN</t>
  </si>
  <si>
    <t xml:space="preserve">JAZMÍN </t>
  </si>
  <si>
    <t>CLAUDIA PATRICIA</t>
  </si>
  <si>
    <t xml:space="preserve"> LIMIAS </t>
  </si>
  <si>
    <t>YASBETH PAOLA</t>
  </si>
  <si>
    <t xml:space="preserve"> CORREA </t>
  </si>
  <si>
    <t>MARISOL LUCERO</t>
  </si>
  <si>
    <t>TELLO</t>
  </si>
  <si>
    <t>DULCE IVONNE</t>
  </si>
  <si>
    <t>IVONE</t>
  </si>
  <si>
    <t>KARINA MARLEN</t>
  </si>
  <si>
    <t>XIMENA</t>
  </si>
  <si>
    <t>TANIA</t>
  </si>
  <si>
    <t>ALARCON</t>
  </si>
  <si>
    <t>NORMA ANGÉLICA</t>
  </si>
  <si>
    <t>ITATY MADELEIN</t>
  </si>
  <si>
    <t>NIÑO DE RIVERA</t>
  </si>
  <si>
    <t>PAOLA KARINA</t>
  </si>
  <si>
    <t>CARMONA</t>
  </si>
  <si>
    <t>CARBAJAL</t>
  </si>
  <si>
    <t>ILEM JOXANDRY</t>
  </si>
  <si>
    <t>NAYELI ELIZABETH</t>
  </si>
  <si>
    <t>PERDONO</t>
  </si>
  <si>
    <t>CUANDON</t>
  </si>
  <si>
    <t>AMERICA SAMANTHA</t>
  </si>
  <si>
    <t>MARINO</t>
  </si>
  <si>
    <t>MIRIAM MICHEL</t>
  </si>
  <si>
    <t>GALLARDO</t>
  </si>
  <si>
    <t>ARIANA</t>
  </si>
  <si>
    <t>MITZI ANAHÍ</t>
  </si>
  <si>
    <t>NATASHA ELENA</t>
  </si>
  <si>
    <t>VENTURA</t>
  </si>
  <si>
    <t>QUEVEDO</t>
  </si>
  <si>
    <t>LUZ AYLIN</t>
  </si>
  <si>
    <t>KITZIA MONTSERRAT</t>
  </si>
  <si>
    <t>MARICRUZ</t>
  </si>
  <si>
    <t>LUZ</t>
  </si>
  <si>
    <t>ROSA MARÍA</t>
  </si>
  <si>
    <t>MONICA</t>
  </si>
  <si>
    <t>ROLDAN</t>
  </si>
  <si>
    <t>GENESIS YARET</t>
  </si>
  <si>
    <t>ALMEIDA</t>
  </si>
  <si>
    <t>LISSET AMAYRANI</t>
  </si>
  <si>
    <t>KIMBERLY AKETZALI</t>
  </si>
  <si>
    <t>MONSALVO</t>
  </si>
  <si>
    <t>ALLISON GRACIELA</t>
  </si>
  <si>
    <t>INDRID YACARANDAY</t>
  </si>
  <si>
    <t>LISSETE GUADALUPE</t>
  </si>
  <si>
    <t>SANDOVAL</t>
  </si>
  <si>
    <t>ESTUDIOS IRAPUATO-GUADALAJARA</t>
  </si>
  <si>
    <t>ITEPAYCAF</t>
  </si>
  <si>
    <t>FRENTE 11 LFMQ</t>
  </si>
  <si>
    <t>TREN MÉX-QRO F9</t>
  </si>
  <si>
    <t>ESTUDIOS DE EJECUCIÓN MÉX-QRO</t>
  </si>
  <si>
    <t>ESTUDIOS DE PREINVERSIÓN IRAPUATO-GUADALAJARA</t>
  </si>
  <si>
    <t>AIFA-PACHUCA, SUBESTACIÓN DE TRACCIÓN F1</t>
  </si>
  <si>
    <t>F2 SET TAP</t>
  </si>
  <si>
    <t>GEOTECNIA</t>
  </si>
  <si>
    <t>F6</t>
  </si>
  <si>
    <t>F3 TMQ</t>
  </si>
  <si>
    <t>MESA PPTO. Y PROG.</t>
  </si>
  <si>
    <t>MESA EJECUCIÓN DE OBRA</t>
  </si>
  <si>
    <t>F4 MÉX-QRO</t>
  </si>
  <si>
    <t>F9 MÉX-QRO</t>
  </si>
  <si>
    <t>F1 SUBESTACIÓN DE TRACCION</t>
  </si>
  <si>
    <t>ROSA GLORIA</t>
  </si>
  <si>
    <t>SERENO</t>
  </si>
  <si>
    <t>ARELY LIZBETH</t>
  </si>
  <si>
    <t>VAVERDE</t>
  </si>
  <si>
    <t>ARREGUÍN</t>
  </si>
  <si>
    <t>YANELLY</t>
  </si>
  <si>
    <t>MARÍA DEL CARMEN JUANA</t>
  </si>
  <si>
    <t>CLAUDIA ERIKA</t>
  </si>
  <si>
    <t>MESA DE PPTO. Y PROG.</t>
  </si>
  <si>
    <t>CAME</t>
  </si>
  <si>
    <t>EDITH</t>
  </si>
  <si>
    <t>LORENA</t>
  </si>
  <si>
    <t>DEALMONTE</t>
  </si>
  <si>
    <t>MARÍA DEL CARMEN</t>
  </si>
  <si>
    <t>KARLA RUBI</t>
  </si>
  <si>
    <t>MONTIEL</t>
  </si>
  <si>
    <t>ESTUDIOS INGRÍA BASICA IRAPUATO-GUADALAJARA</t>
  </si>
  <si>
    <t>MESA TERRACERÍAS</t>
  </si>
  <si>
    <t>MARLEN</t>
  </si>
  <si>
    <t xml:space="preserve">PARRA </t>
  </si>
  <si>
    <t xml:space="preserve">32 años </t>
  </si>
  <si>
    <t>24 años</t>
  </si>
  <si>
    <t>24 AÑOS</t>
  </si>
  <si>
    <t>LUCIO</t>
  </si>
  <si>
    <t>GERARDO JESUS</t>
  </si>
  <si>
    <t>CARLOS ISAAC</t>
  </si>
  <si>
    <t>27 AÑOS</t>
  </si>
  <si>
    <t>32 AÑOS</t>
  </si>
  <si>
    <t>MICHAEL</t>
  </si>
  <si>
    <t>ELIZALDE</t>
  </si>
  <si>
    <t>JONATHAN DAVID</t>
  </si>
  <si>
    <t>FELIX AHSMAR</t>
  </si>
  <si>
    <t>ÁLVAREZ</t>
  </si>
  <si>
    <t>RAÚL ABRAHAM</t>
  </si>
  <si>
    <t>ULISES ALBERTO</t>
  </si>
  <si>
    <t>EDUARDO ALFREDO</t>
  </si>
  <si>
    <t>ANACLETO</t>
  </si>
  <si>
    <t>EMILIANO DIEGO</t>
  </si>
  <si>
    <t>ORDONEZ</t>
  </si>
  <si>
    <t>JOEL MANUEL</t>
  </si>
  <si>
    <t>GALVÁN</t>
  </si>
  <si>
    <t>JOSÉ NOEL</t>
  </si>
  <si>
    <t>ALEC MANUEL</t>
  </si>
  <si>
    <t>CARLOS ANDRAWI</t>
  </si>
  <si>
    <t>SANTAMARÍA</t>
  </si>
  <si>
    <t>MAXIMILIANO</t>
  </si>
  <si>
    <t>VICTOR EDUARDO</t>
  </si>
  <si>
    <t>ARELLANES</t>
  </si>
  <si>
    <t>EDREY DAVIMAEL</t>
  </si>
  <si>
    <t>VILLARREAL</t>
  </si>
  <si>
    <t>MONTAÑO</t>
  </si>
  <si>
    <t xml:space="preserve">GERARDO  </t>
  </si>
  <si>
    <t>UMEGIDO</t>
  </si>
  <si>
    <t>GERARDO ALI</t>
  </si>
  <si>
    <t>SARRACINO</t>
  </si>
  <si>
    <t>IZQUIERDO</t>
  </si>
  <si>
    <t>HECTOR DANIEL</t>
  </si>
  <si>
    <t>ABUELA</t>
  </si>
  <si>
    <t>ULISES EFREN</t>
  </si>
  <si>
    <t xml:space="preserve">CÉSAR </t>
  </si>
  <si>
    <t>ARTURO HIRAM</t>
  </si>
  <si>
    <t>SARMIENTO</t>
  </si>
  <si>
    <t xml:space="preserve">GUSTAVO ÁNGEL </t>
  </si>
  <si>
    <t>TOLENTINO</t>
  </si>
  <si>
    <t xml:space="preserve">FROYLÁN </t>
  </si>
  <si>
    <t>CÉSAR MOISES</t>
  </si>
  <si>
    <t>TEJADA</t>
  </si>
  <si>
    <t>IRVING IRAK</t>
  </si>
  <si>
    <t>ARPAEZ</t>
  </si>
  <si>
    <t>JOSÉ MANUEL</t>
  </si>
  <si>
    <t>JOSÉ FRANCISCO</t>
  </si>
  <si>
    <t>MEJIA</t>
  </si>
  <si>
    <t>KEVIN JOSHUA</t>
  </si>
  <si>
    <t>ERIK ROLDAN</t>
  </si>
  <si>
    <t>FISCAL</t>
  </si>
  <si>
    <t>GURGUA</t>
  </si>
  <si>
    <t>JEOVA TONATIHU</t>
  </si>
  <si>
    <t>RAFAEL ARZÚ</t>
  </si>
  <si>
    <t>GONZALES</t>
  </si>
  <si>
    <t>COBOS</t>
  </si>
  <si>
    <t>ABEL SEIR</t>
  </si>
  <si>
    <t>DYAN AXEL</t>
  </si>
  <si>
    <t>MUNGUIA</t>
  </si>
  <si>
    <t>OSCAR IVAN</t>
  </si>
  <si>
    <t>EXTRAGRANDE</t>
  </si>
  <si>
    <t>JOSÉ EDUARDO</t>
  </si>
  <si>
    <t>ESTUDIO TEC. PREINV. IRAPUATO-GUADALAJARA</t>
  </si>
  <si>
    <t>TMQ F5</t>
  </si>
  <si>
    <t>ESTUDIOS SLP-STL</t>
  </si>
  <si>
    <t>F5 TAP</t>
  </si>
  <si>
    <t>F1 SET Y SEM</t>
  </si>
  <si>
    <t xml:space="preserve">F1  </t>
  </si>
  <si>
    <t>INGRÍA BASICA IRAPUATO-GUADALAJARA</t>
  </si>
  <si>
    <t>ESTUDIOS DE EJECUCIÓN QRO-SLP</t>
  </si>
  <si>
    <t>MESA AMBIENTAL Y SUSTENTABILIDAD</t>
  </si>
  <si>
    <t>F8 MÉX--QRO</t>
  </si>
  <si>
    <t>F1 AIFA-PACHUCA, SUBESTACION DE TRACCIÓN</t>
  </si>
  <si>
    <t>LUIS MARIO</t>
  </si>
  <si>
    <t>SENÉN</t>
  </si>
  <si>
    <t>MORÓN</t>
  </si>
  <si>
    <t>GUERRA</t>
  </si>
  <si>
    <t>ARMANDO</t>
  </si>
  <si>
    <t>VIVANCO</t>
  </si>
  <si>
    <t>PLIEGO</t>
  </si>
  <si>
    <t>CRISTIAN</t>
  </si>
  <si>
    <t>MARINES</t>
  </si>
  <si>
    <t>OCAÑA</t>
  </si>
  <si>
    <t>MIGUEL ÁNGEL</t>
  </si>
  <si>
    <t>CORREA</t>
  </si>
  <si>
    <t>MOISES</t>
  </si>
  <si>
    <t xml:space="preserve"> ADÁN </t>
  </si>
  <si>
    <t xml:space="preserve"> MEZA</t>
  </si>
  <si>
    <t xml:space="preserve">JOSUÉ </t>
  </si>
  <si>
    <t>JUAN MANUEL</t>
  </si>
  <si>
    <t>FERRUSCA</t>
  </si>
  <si>
    <t xml:space="preserve">BENJAMÍN </t>
  </si>
  <si>
    <t>OLMOS</t>
  </si>
  <si>
    <t>LEOCADIO RENÉ</t>
  </si>
  <si>
    <t>ORNELAS</t>
  </si>
  <si>
    <t>VIRGILIO</t>
  </si>
  <si>
    <t xml:space="preserve">GIRÓN </t>
  </si>
  <si>
    <t>ROSADO</t>
  </si>
  <si>
    <t xml:space="preserve">MERLO </t>
  </si>
  <si>
    <t>AUDON</t>
  </si>
  <si>
    <t>GAFSACOMM</t>
  </si>
  <si>
    <t>LUIS SAHMAEL</t>
  </si>
  <si>
    <t>ALDO ULISES</t>
  </si>
  <si>
    <t>BECERRIL</t>
  </si>
  <si>
    <t>PAVON</t>
  </si>
  <si>
    <t>ENRIQUE RAÚL</t>
  </si>
  <si>
    <t>ESCALANTE</t>
  </si>
  <si>
    <t>HUGO ALEJANDRO</t>
  </si>
  <si>
    <t>JARAMILLO</t>
  </si>
  <si>
    <t>ROBERTO</t>
  </si>
  <si>
    <t>VILLEDA</t>
  </si>
  <si>
    <t>EDWING ROMAN</t>
  </si>
  <si>
    <t>EMERSON RAFAHEL</t>
  </si>
  <si>
    <t>VERGARA</t>
  </si>
  <si>
    <t>DANIEL ANGEL</t>
  </si>
  <si>
    <t>DAVID H.</t>
  </si>
  <si>
    <t>COSME</t>
  </si>
  <si>
    <t>VICTOR ISAI</t>
  </si>
  <si>
    <t>ALEXANDER</t>
  </si>
  <si>
    <t xml:space="preserve">DANIEL  </t>
  </si>
  <si>
    <t>JORGE LUIS</t>
  </si>
  <si>
    <t>KEVIN EDUARDO</t>
  </si>
  <si>
    <t>DINORIN</t>
  </si>
  <si>
    <t>RICARDO</t>
  </si>
  <si>
    <t>CRISTOPHER</t>
  </si>
  <si>
    <t>LEONIDES</t>
  </si>
  <si>
    <t>SERAFIN</t>
  </si>
  <si>
    <t>TREN SLP-STL</t>
  </si>
  <si>
    <t>EDN. AR. 401</t>
  </si>
  <si>
    <t>F1</t>
  </si>
  <si>
    <t>RAÚL ABEL</t>
  </si>
  <si>
    <t>JHONNY EMILIO</t>
  </si>
  <si>
    <t>ROBERTO DE JESÚS</t>
  </si>
  <si>
    <t>CAP. I MARCO ALFONSO</t>
  </si>
  <si>
    <t>ANDUAGA</t>
  </si>
  <si>
    <t>ANGEL IVAN</t>
  </si>
  <si>
    <t>ESAÚ JOSÉ</t>
  </si>
  <si>
    <t xml:space="preserve">MANUEL </t>
  </si>
  <si>
    <t>NÚÑEZ</t>
  </si>
  <si>
    <t>NAJAR</t>
  </si>
  <si>
    <t>MESA INGRÍA. ELEC. Y EQMTO. IND.</t>
  </si>
  <si>
    <t>GPO. ENLACE</t>
  </si>
  <si>
    <t>G.M.A.E.</t>
  </si>
  <si>
    <t>BAM 06</t>
  </si>
  <si>
    <t>Brandon</t>
  </si>
  <si>
    <t>Almaraz</t>
  </si>
  <si>
    <t>Frente 5 Méx-Qro</t>
  </si>
  <si>
    <t>AVANNGY KAMILA</t>
  </si>
  <si>
    <t xml:space="preserve">EXTRA GRANDE </t>
  </si>
  <si>
    <t>BRENDA ITZEL</t>
  </si>
  <si>
    <t>GABRIELA</t>
  </si>
  <si>
    <t>LIMAS</t>
  </si>
  <si>
    <t xml:space="preserve">SALMA RUBI </t>
  </si>
  <si>
    <t xml:space="preserve">KATYA BRENDA </t>
  </si>
  <si>
    <t>MARGARITA ZITLALLI</t>
  </si>
  <si>
    <t>AMARO</t>
  </si>
  <si>
    <t>BORGES</t>
  </si>
  <si>
    <t>MONICA BEATRIZ</t>
  </si>
  <si>
    <t>ISABEL</t>
  </si>
  <si>
    <t>MARIA ESPERANZA</t>
  </si>
  <si>
    <t xml:space="preserve">TREJO </t>
  </si>
  <si>
    <t>SIERRA</t>
  </si>
  <si>
    <t>ELIZABETH</t>
  </si>
  <si>
    <t>YESSICA BRENDA</t>
  </si>
  <si>
    <t>BASURTO</t>
  </si>
  <si>
    <t>RECINTO MILITAR</t>
  </si>
  <si>
    <t>JACOBO</t>
  </si>
  <si>
    <t>SERGIO ALBERTO</t>
  </si>
  <si>
    <t>SUAREZ</t>
  </si>
  <si>
    <t>ISAAC ISAIAS</t>
  </si>
  <si>
    <t>GAVILAN</t>
  </si>
  <si>
    <t xml:space="preserve">JULIO ALBERTO RODRIGO </t>
  </si>
  <si>
    <t xml:space="preserve">JORGE REYMUNDO </t>
  </si>
  <si>
    <t>CANUL</t>
  </si>
  <si>
    <t>PAAT</t>
  </si>
  <si>
    <t>JULIO ENRIQUE</t>
  </si>
  <si>
    <t xml:space="preserve">LEAL </t>
  </si>
  <si>
    <t>SOL</t>
  </si>
  <si>
    <t>CACERES</t>
  </si>
  <si>
    <t xml:space="preserve">CHRISTIAN JESUS </t>
  </si>
  <si>
    <t xml:space="preserve">MENDEZ </t>
  </si>
  <si>
    <t xml:space="preserve">JOSE MIGUEL </t>
  </si>
  <si>
    <t>JOSE MANUEL</t>
  </si>
  <si>
    <t>ALAN EDUARDO</t>
  </si>
  <si>
    <t xml:space="preserve">JOEL ALEJANDRO </t>
  </si>
  <si>
    <t>HOWARD GERMAN</t>
  </si>
  <si>
    <t>EMILIANO</t>
  </si>
  <si>
    <t>MEDIANO</t>
  </si>
  <si>
    <t>CITLALI BERENIZE</t>
  </si>
  <si>
    <t>CHIQUETE</t>
  </si>
  <si>
    <t>GARRIDO</t>
  </si>
  <si>
    <t>IGNACIO</t>
  </si>
  <si>
    <t>JOSE EDUARDO</t>
  </si>
  <si>
    <t>BRAVO</t>
  </si>
  <si>
    <t>STEFFANY HARUMY</t>
  </si>
  <si>
    <t>FRENTE 3 MÉXICO-QUERÉTARO</t>
  </si>
  <si>
    <t xml:space="preserve">DANA PAOLA </t>
  </si>
  <si>
    <t>IRAPUATO-GUADALAJARA</t>
  </si>
  <si>
    <t>Desarrollo de ingeniería básica, línea férrea Mazatlán-Los Mochi</t>
  </si>
  <si>
    <t>MARÍA ISABEL</t>
  </si>
  <si>
    <t>RESENDIS</t>
  </si>
  <si>
    <t>JOSÉ MIGUEL</t>
  </si>
  <si>
    <t>SHEYKA RUBY</t>
  </si>
  <si>
    <t>CTC POXILÁ</t>
  </si>
  <si>
    <t>SANDIBEL</t>
  </si>
  <si>
    <t>MEDRANO</t>
  </si>
  <si>
    <t xml:space="preserve">ITEYPF  </t>
  </si>
  <si>
    <t>REYNOSO</t>
  </si>
  <si>
    <t>DEYANIRA</t>
  </si>
  <si>
    <t>ANA PAOLA</t>
  </si>
  <si>
    <t>Jatziry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</si>
</sst>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Geomanist Regular"/>
    </font>
    <font>
      <sz val="12"/>
      <color theme="1"/>
      <name val="Geomanist Regular"/>
    </font>
    <font>
      <sz val="16"/>
      <color theme="1"/>
      <name val="Geomanist Regular"/>
    </font>
    <font>
      <b/>
      <sz val="16"/>
      <color theme="1"/>
      <name val="Geomanist Regular"/>
    </font>
    <font>
      <b/>
      <sz val="14"/>
      <color theme="1"/>
      <name val="Geomanist Regular"/>
    </font>
    <font>
      <b/>
      <sz val="11"/>
      <color theme="1"/>
      <name val="Calibri"/>
      <family val="2"/>
      <scheme val="minor"/>
    </font>
    <font>
      <sz val="14"/>
      <color theme="1"/>
      <name val="Geomanist Regular"/>
    </font>
    <font>
      <b/>
      <sz val="18"/>
      <color theme="1"/>
      <name val="Calibri"/>
      <family val="2"/>
      <scheme val="minor"/>
    </font>
    <font>
      <sz val="11"/>
      <color theme="1"/>
      <name val="Geomanist Regula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Geomanist Regular"/>
    </font>
    <font>
      <sz val="11"/>
      <color rgb="FF000000"/>
      <name val="Geomanist"/>
    </font>
    <font>
      <sz val="12"/>
      <color rgb="FF000000"/>
      <name val="Geomanist Regula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44" fontId="3" fillId="0" borderId="1" xfId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44" fontId="3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0" fontId="10" fillId="0" borderId="0" xfId="0" applyNumberFormat="1" applyFont="1"/>
    <xf numFmtId="44" fontId="3" fillId="0" borderId="0" xfId="1" applyFont="1" applyFill="1" applyBorder="1" applyAlignment="1">
      <alignment horizontal="center" vertical="center"/>
    </xf>
    <xf numFmtId="44" fontId="3" fillId="0" borderId="4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52860</xdr:colOff>
      <xdr:row>0</xdr:row>
      <xdr:rowOff>154905</xdr:rowOff>
    </xdr:from>
    <xdr:to>
      <xdr:col>1</xdr:col>
      <xdr:colOff>1190624</xdr:colOff>
      <xdr:row>4</xdr:row>
      <xdr:rowOff>13607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FD0D475-81DB-7AF6-3686-4F60DB9F534B}"/>
            </a:ext>
          </a:extLst>
        </xdr:cNvPr>
        <xdr:cNvGrpSpPr/>
      </xdr:nvGrpSpPr>
      <xdr:grpSpPr>
        <a:xfrm>
          <a:off x="52860" y="154905"/>
          <a:ext cx="1497597" cy="578369"/>
          <a:chOff x="0" y="78441"/>
          <a:chExt cx="2300217" cy="520451"/>
        </a:xfrm>
      </xdr:grpSpPr>
      <xdr:pic>
        <xdr:nvPicPr>
          <xdr:cNvPr id="5" name="Gráfico 9">
            <a:extLst>
              <a:ext uri="{FF2B5EF4-FFF2-40B4-BE49-F238E27FC236}">
                <a16:creationId xmlns:a16="http://schemas.microsoft.com/office/drawing/2014/main" id="{02980112-CD27-D72C-8B15-DA5427EDD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78441"/>
            <a:ext cx="2188864" cy="520451"/>
          </a:xfrm>
          <a:prstGeom prst="rect">
            <a:avLst/>
          </a:prstGeom>
        </xdr:spPr>
      </xdr:pic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934896DB-8544-1BE9-F5AD-B5D5951BBC39}"/>
              </a:ext>
            </a:extLst>
          </xdr:cNvPr>
          <xdr:cNvSpPr/>
        </xdr:nvSpPr>
        <xdr:spPr>
          <a:xfrm>
            <a:off x="2296617" y="115582"/>
            <a:ext cx="3600" cy="432000"/>
          </a:xfrm>
          <a:prstGeom prst="rect">
            <a:avLst/>
          </a:prstGeom>
          <a:solidFill>
            <a:srgbClr val="AE842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s-MX"/>
          </a:p>
        </xdr:txBody>
      </xdr:sp>
    </xdr:grpSp>
    <xdr:clientData/>
  </xdr:twoCellAnchor>
  <xdr:twoCellAnchor editAs="oneCell">
    <xdr:from>
      <xdr:col>2</xdr:col>
      <xdr:colOff>88447</xdr:colOff>
      <xdr:row>0</xdr:row>
      <xdr:rowOff>190499</xdr:rowOff>
    </xdr:from>
    <xdr:to>
      <xdr:col>2</xdr:col>
      <xdr:colOff>966107</xdr:colOff>
      <xdr:row>5</xdr:row>
      <xdr:rowOff>120366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7B3B9-1E0A-9B23-42D4-21B018CB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8715" y="190499"/>
          <a:ext cx="877660" cy="882367"/>
        </a:xfrm>
        <a:prstGeom prst="rect">
          <a:avLst/>
        </a:prstGeom>
      </xdr:spPr>
    </xdr:pic>
    <xdr:clientData/>
  </xdr:twoCellAnchor>
  <xdr:twoCellAnchor editAs="oneCell">
    <xdr:from>
      <xdr:col>1</xdr:col>
      <xdr:colOff>1595303</xdr:colOff>
      <xdr:row>1</xdr:row>
      <xdr:rowOff>6699</xdr:rowOff>
    </xdr:from>
    <xdr:to>
      <xdr:col>1</xdr:col>
      <xdr:colOff>3351005</xdr:colOff>
      <xdr:row>5</xdr:row>
      <xdr:rowOff>20410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0BB5D5-12AF-A0FE-C5F6-8F69E5F61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482" y="197199"/>
          <a:ext cx="1755702" cy="775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57150</xdr:rowOff>
    </xdr:from>
    <xdr:to>
      <xdr:col>1</xdr:col>
      <xdr:colOff>1314450</xdr:colOff>
      <xdr:row>6</xdr:row>
      <xdr:rowOff>2821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124D5-DF59-01B0-FC2F-08D6C2A6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57150"/>
          <a:ext cx="1247774" cy="1247774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85725</xdr:rowOff>
    </xdr:from>
    <xdr:to>
      <xdr:col>8</xdr:col>
      <xdr:colOff>352425</xdr:colOff>
      <xdr:row>6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BDFBE7-7550-4640-ABBD-9656A792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85725"/>
          <a:ext cx="1247774" cy="1247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57150</xdr:rowOff>
    </xdr:from>
    <xdr:to>
      <xdr:col>1</xdr:col>
      <xdr:colOff>1314450</xdr:colOff>
      <xdr:row>7</xdr:row>
      <xdr:rowOff>1409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1A97EB-D000-467C-B7D1-23E2C276B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57150"/>
          <a:ext cx="1247774" cy="1260121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85725</xdr:rowOff>
    </xdr:from>
    <xdr:to>
      <xdr:col>8</xdr:col>
      <xdr:colOff>352425</xdr:colOff>
      <xdr:row>7</xdr:row>
      <xdr:rowOff>1762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48C5F-0974-4A07-8436-C08264BA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6" y="85725"/>
          <a:ext cx="1247774" cy="12477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57150</xdr:rowOff>
    </xdr:from>
    <xdr:to>
      <xdr:col>1</xdr:col>
      <xdr:colOff>1314450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FFBEF1-D620-496F-8480-C8A241CC3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57150"/>
          <a:ext cx="1247774" cy="12668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85725</xdr:rowOff>
    </xdr:from>
    <xdr:to>
      <xdr:col>8</xdr:col>
      <xdr:colOff>352426</xdr:colOff>
      <xdr:row>6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975836-1C2F-491B-95A1-CB00A025E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1" y="85725"/>
          <a:ext cx="1247774" cy="1238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57150</xdr:rowOff>
    </xdr:from>
    <xdr:to>
      <xdr:col>1</xdr:col>
      <xdr:colOff>1314450</xdr:colOff>
      <xdr:row>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8D22C6-084F-405F-9EC4-10649B54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57150"/>
          <a:ext cx="1247774" cy="12668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85725</xdr:rowOff>
    </xdr:from>
    <xdr:to>
      <xdr:col>8</xdr:col>
      <xdr:colOff>352426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EED492-FEC3-427B-9225-0645251E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1" y="85725"/>
          <a:ext cx="1247775" cy="1238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57150</xdr:rowOff>
    </xdr:from>
    <xdr:to>
      <xdr:col>1</xdr:col>
      <xdr:colOff>1314450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B3A6A7-4DBA-4593-9FE7-2905F6A43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57150"/>
          <a:ext cx="1247774" cy="12668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85725</xdr:rowOff>
    </xdr:from>
    <xdr:to>
      <xdr:col>8</xdr:col>
      <xdr:colOff>352425</xdr:colOff>
      <xdr:row>6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A3B1A8-9780-473A-BD2C-D0EB8E4CE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1" y="85725"/>
          <a:ext cx="1247774" cy="1247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0</xdr:rowOff>
    </xdr:from>
    <xdr:to>
      <xdr:col>1</xdr:col>
      <xdr:colOff>1022350</xdr:colOff>
      <xdr:row>4</xdr:row>
      <xdr:rowOff>91929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74E330-EF5F-4700-9000-A0397BBD6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0"/>
          <a:ext cx="955674" cy="1101579"/>
        </a:xfrm>
        <a:prstGeom prst="rect">
          <a:avLst/>
        </a:prstGeom>
      </xdr:spPr>
    </xdr:pic>
    <xdr:clientData/>
  </xdr:twoCellAnchor>
  <xdr:twoCellAnchor editAs="oneCell">
    <xdr:from>
      <xdr:col>7</xdr:col>
      <xdr:colOff>736600</xdr:colOff>
      <xdr:row>0</xdr:row>
      <xdr:rowOff>0</xdr:rowOff>
    </xdr:from>
    <xdr:to>
      <xdr:col>8</xdr:col>
      <xdr:colOff>352425</xdr:colOff>
      <xdr:row>4</xdr:row>
      <xdr:rowOff>156036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550E3E-F99E-4095-BF1E-EE718ED90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0"/>
          <a:ext cx="1044575" cy="11656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0</xdr:rowOff>
    </xdr:from>
    <xdr:to>
      <xdr:col>1</xdr:col>
      <xdr:colOff>1314450</xdr:colOff>
      <xdr:row>5</xdr:row>
      <xdr:rowOff>6350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F8125A-AD63-4D47-8213-C3FF1500B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57151"/>
          <a:ext cx="1247774" cy="1257300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0</xdr:rowOff>
    </xdr:from>
    <xdr:to>
      <xdr:col>9</xdr:col>
      <xdr:colOff>44449</xdr:colOff>
      <xdr:row>4</xdr:row>
      <xdr:rowOff>213078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B94C9-F0FA-46C8-A8F5-CF7934960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1" y="85725"/>
          <a:ext cx="1247774" cy="1238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0</xdr:rowOff>
    </xdr:from>
    <xdr:to>
      <xdr:col>1</xdr:col>
      <xdr:colOff>1314450</xdr:colOff>
      <xdr:row>5</xdr:row>
      <xdr:rowOff>130175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C8AADE-AE97-4811-B5BC-3EF29E23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0"/>
          <a:ext cx="1247774" cy="125412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466726</xdr:colOff>
      <xdr:row>0</xdr:row>
      <xdr:rowOff>0</xdr:rowOff>
    </xdr:from>
    <xdr:to>
      <xdr:col>9</xdr:col>
      <xdr:colOff>44449</xdr:colOff>
      <xdr:row>5</xdr:row>
      <xdr:rowOff>98778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F2BB6-3889-4C28-8D72-654DB185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0"/>
          <a:ext cx="1254124" cy="1222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C402-C14A-42EF-BCB4-0C9032A3E8E9}">
  <dimension ref="A7:I24"/>
  <sheetViews>
    <sheetView view="pageBreakPreview" topLeftCell="A4" zoomScale="60" zoomScaleNormal="100" workbookViewId="0">
      <selection activeCell="C11" sqref="C11"/>
    </sheetView>
  </sheetViews>
  <sheetFormatPr baseColWidth="10" defaultRowHeight="14.5" x14ac:dyDescent="0.35"/>
  <cols>
    <col min="1" max="1" width="5.1796875" customWidth="1"/>
    <col min="2" max="2" width="59.7265625" customWidth="1"/>
    <col min="3" max="3" width="15.7265625" bestFit="1" customWidth="1"/>
  </cols>
  <sheetData>
    <row r="7" spans="1:9" x14ac:dyDescent="0.35">
      <c r="A7" s="47" t="s">
        <v>80</v>
      </c>
      <c r="B7" s="47"/>
      <c r="C7" s="47"/>
    </row>
    <row r="9" spans="1:9" ht="15.5" x14ac:dyDescent="0.35">
      <c r="B9" s="12" t="s">
        <v>78</v>
      </c>
      <c r="C9" s="17" t="s">
        <v>77</v>
      </c>
    </row>
    <row r="10" spans="1:9" ht="18" x14ac:dyDescent="0.4">
      <c r="B10" s="11"/>
      <c r="C10" s="11"/>
      <c r="D10" s="11"/>
      <c r="E10" s="11"/>
      <c r="F10" s="11"/>
      <c r="G10" s="11"/>
      <c r="H10" s="11"/>
      <c r="I10" s="11"/>
    </row>
    <row r="11" spans="1:9" ht="18" x14ac:dyDescent="0.4">
      <c r="B11" s="13" t="s">
        <v>69</v>
      </c>
      <c r="C11" s="14">
        <f>'Atl-Fml-5-kms-1a'!G345</f>
        <v>333</v>
      </c>
    </row>
    <row r="12" spans="1:9" ht="18" x14ac:dyDescent="0.4">
      <c r="A12" s="11"/>
      <c r="B12" s="13" t="s">
        <v>70</v>
      </c>
      <c r="C12" s="14">
        <f>'Atl-Fml-5-kms-2a'!G70</f>
        <v>59</v>
      </c>
      <c r="D12" s="11"/>
      <c r="E12" s="11"/>
      <c r="F12" s="11"/>
      <c r="G12" s="11"/>
      <c r="H12" s="11"/>
      <c r="I12" s="11"/>
    </row>
    <row r="13" spans="1:9" ht="18" x14ac:dyDescent="0.4">
      <c r="C13" s="14"/>
    </row>
    <row r="14" spans="1:9" ht="18" x14ac:dyDescent="0.4">
      <c r="B14" s="13" t="s">
        <v>71</v>
      </c>
      <c r="C14" s="14">
        <f>'Atl-Vnl-5-kms-1a'!G277</f>
        <v>260</v>
      </c>
    </row>
    <row r="15" spans="1:9" ht="18" x14ac:dyDescent="0.4">
      <c r="B15" s="13" t="s">
        <v>72</v>
      </c>
      <c r="C15" s="14">
        <f>'Atl-Vnl-5-kms-2a'!G138</f>
        <v>121</v>
      </c>
    </row>
    <row r="16" spans="1:9" ht="18" x14ac:dyDescent="0.4">
      <c r="C16" s="14"/>
    </row>
    <row r="17" spans="2:3" ht="18" x14ac:dyDescent="0.4">
      <c r="B17" s="13" t="s">
        <v>73</v>
      </c>
      <c r="C17" s="14">
        <f>'Atl-Fml-10-kms-1a'!G79</f>
        <v>70</v>
      </c>
    </row>
    <row r="18" spans="2:3" ht="18" x14ac:dyDescent="0.4">
      <c r="B18" s="13" t="s">
        <v>74</v>
      </c>
      <c r="C18" s="14">
        <f>'Atl-Fml-10-kms-2a'!I21</f>
        <v>9</v>
      </c>
    </row>
    <row r="19" spans="2:3" ht="18" x14ac:dyDescent="0.4">
      <c r="C19" s="14"/>
    </row>
    <row r="20" spans="2:3" ht="18" x14ac:dyDescent="0.4">
      <c r="B20" s="13" t="s">
        <v>75</v>
      </c>
      <c r="C20" s="14">
        <f>'Atl-Vnl-10-kms-1a'!I147</f>
        <v>131</v>
      </c>
    </row>
    <row r="21" spans="2:3" ht="18" x14ac:dyDescent="0.4">
      <c r="B21" s="13" t="s">
        <v>76</v>
      </c>
      <c r="C21" s="14">
        <f>'Atl-Vnl-10-kms-2a'!I63</f>
        <v>50</v>
      </c>
    </row>
    <row r="22" spans="2:3" x14ac:dyDescent="0.35">
      <c r="C22" s="1"/>
    </row>
    <row r="24" spans="2:3" ht="23.5" x14ac:dyDescent="0.55000000000000004">
      <c r="B24" s="16" t="s">
        <v>79</v>
      </c>
      <c r="C24" s="15">
        <f>SUM(C11:C23)</f>
        <v>1033</v>
      </c>
    </row>
  </sheetData>
  <mergeCells count="1">
    <mergeCell ref="A7:C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7880-D51B-474F-81FC-F3D6C4808A03}">
  <dimension ref="A2:W345"/>
  <sheetViews>
    <sheetView tabSelected="1" zoomScale="90" zoomScaleNormal="90" workbookViewId="0">
      <pane xSplit="7" ySplit="9" topLeftCell="H38" activePane="bottomRight" state="frozenSplit"/>
      <selection pane="topRight" activeCell="G1" sqref="G1"/>
      <selection pane="bottomLeft" activeCell="A9" sqref="A9"/>
      <selection pane="bottomRight" activeCell="D345" sqref="D345"/>
    </sheetView>
  </sheetViews>
  <sheetFormatPr baseColWidth="10" defaultColWidth="11.453125" defaultRowHeight="14" x14ac:dyDescent="0.3"/>
  <cols>
    <col min="1" max="1" width="11.453125" style="18" customWidth="1"/>
    <col min="2" max="2" width="22.54296875" style="18" customWidth="1"/>
    <col min="3" max="4" width="20.7265625" style="18" customWidth="1"/>
    <col min="5" max="5" width="11.453125" style="18"/>
    <col min="6" max="6" width="12.26953125" style="18" customWidth="1"/>
    <col min="7" max="7" width="18.81640625" style="18" bestFit="1" customWidth="1"/>
    <col min="8" max="8" width="20.453125" style="18" bestFit="1" customWidth="1"/>
    <col min="9" max="9" width="18.1796875" style="18" bestFit="1" customWidth="1"/>
    <col min="10" max="10" width="18" style="18" customWidth="1"/>
    <col min="11" max="11" width="18.1796875" style="18" hidden="1" customWidth="1"/>
    <col min="12" max="12" width="26.1796875" style="18" hidden="1" customWidth="1"/>
    <col min="13" max="13" width="18.1796875" style="18" hidden="1" customWidth="1"/>
    <col min="14" max="14" width="18.1796875" style="18" customWidth="1"/>
    <col min="15" max="16384" width="11.453125" style="18"/>
  </cols>
  <sheetData>
    <row r="2" spans="1:19" ht="20.5" x14ac:dyDescent="0.45">
      <c r="A2" s="49" t="s">
        <v>9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10</v>
      </c>
      <c r="B3" s="49"/>
      <c r="C3" s="49"/>
      <c r="D3" s="49"/>
      <c r="E3" s="49"/>
      <c r="F3" s="49"/>
      <c r="G3" s="49"/>
      <c r="H3" s="49"/>
      <c r="I3" s="49"/>
    </row>
    <row r="4" spans="1:19" ht="20.5" x14ac:dyDescent="0.45">
      <c r="A4" s="49" t="s">
        <v>11</v>
      </c>
      <c r="B4" s="49"/>
      <c r="C4" s="49"/>
      <c r="D4" s="49"/>
      <c r="E4" s="49"/>
      <c r="F4" s="49"/>
      <c r="G4" s="49"/>
      <c r="H4" s="49"/>
      <c r="I4" s="49"/>
    </row>
    <row r="5" spans="1:19" ht="9" customHeight="1" x14ac:dyDescent="0.45">
      <c r="A5" s="4"/>
      <c r="B5" s="4"/>
      <c r="C5" s="4"/>
      <c r="D5" s="4"/>
      <c r="E5" s="4"/>
      <c r="F5" s="4"/>
      <c r="G5" s="4"/>
      <c r="H5" s="4"/>
      <c r="I5" s="4"/>
      <c r="K5" s="4"/>
      <c r="L5" s="4"/>
      <c r="M5" s="4"/>
      <c r="N5" s="4"/>
    </row>
    <row r="6" spans="1:19" ht="18" x14ac:dyDescent="0.4">
      <c r="A6" s="50" t="s">
        <v>12</v>
      </c>
      <c r="B6" s="50"/>
      <c r="C6" s="50"/>
      <c r="D6" s="50"/>
      <c r="E6" s="50"/>
      <c r="F6" s="50"/>
      <c r="G6" s="50"/>
      <c r="H6" s="50"/>
      <c r="I6" s="50"/>
    </row>
    <row r="7" spans="1:19" ht="18" x14ac:dyDescent="0.4">
      <c r="A7" s="50" t="s">
        <v>18</v>
      </c>
      <c r="B7" s="50"/>
      <c r="C7" s="50"/>
      <c r="D7" s="50"/>
      <c r="E7" s="50"/>
      <c r="F7" s="50"/>
      <c r="G7" s="50"/>
      <c r="H7" s="50"/>
      <c r="I7" s="50"/>
    </row>
    <row r="8" spans="1:19" ht="7.5" customHeight="1" x14ac:dyDescent="0.4">
      <c r="A8" s="51"/>
      <c r="B8" s="51"/>
      <c r="C8" s="51"/>
      <c r="D8" s="51"/>
      <c r="E8" s="51"/>
      <c r="F8" s="51"/>
      <c r="G8" s="51"/>
      <c r="H8" s="51"/>
      <c r="I8" s="51"/>
      <c r="J8" s="19"/>
    </row>
    <row r="9" spans="1:19" ht="15.5" x14ac:dyDescent="0.35">
      <c r="A9" s="2" t="s">
        <v>6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7</v>
      </c>
      <c r="I9" s="2" t="s">
        <v>8</v>
      </c>
      <c r="J9" s="2" t="s">
        <v>316</v>
      </c>
      <c r="K9" s="2" t="s">
        <v>15</v>
      </c>
      <c r="L9" s="2" t="s">
        <v>31</v>
      </c>
      <c r="M9" s="2" t="s">
        <v>17</v>
      </c>
      <c r="O9" s="35" t="s">
        <v>29</v>
      </c>
      <c r="P9" s="35" t="s">
        <v>24</v>
      </c>
      <c r="Q9" s="35" t="s">
        <v>36</v>
      </c>
      <c r="R9" s="35" t="s">
        <v>66</v>
      </c>
      <c r="S9" s="35" t="s">
        <v>65</v>
      </c>
    </row>
    <row r="10" spans="1:19" ht="25" customHeight="1" x14ac:dyDescent="0.3">
      <c r="A10" s="3">
        <v>1</v>
      </c>
      <c r="B10" s="3" t="s">
        <v>20</v>
      </c>
      <c r="C10" s="3" t="s">
        <v>21</v>
      </c>
      <c r="D10" s="3" t="s">
        <v>22</v>
      </c>
      <c r="E10" s="3">
        <v>29</v>
      </c>
      <c r="F10" s="3" t="s">
        <v>23</v>
      </c>
      <c r="G10" s="3" t="s">
        <v>24</v>
      </c>
      <c r="H10" s="3"/>
      <c r="I10" s="3"/>
      <c r="J10" s="21"/>
      <c r="K10" s="3" t="s">
        <v>25</v>
      </c>
      <c r="L10" s="3">
        <v>8196287</v>
      </c>
      <c r="M10" s="20">
        <v>200</v>
      </c>
      <c r="N10" s="34"/>
      <c r="O10" s="3"/>
      <c r="P10" s="3">
        <v>1</v>
      </c>
      <c r="Q10" s="3"/>
      <c r="R10" s="3"/>
      <c r="S10" s="3"/>
    </row>
    <row r="11" spans="1:19" ht="25" customHeight="1" x14ac:dyDescent="0.3">
      <c r="A11" s="3">
        <v>2</v>
      </c>
      <c r="B11" s="3" t="s">
        <v>26</v>
      </c>
      <c r="C11" s="3" t="s">
        <v>27</v>
      </c>
      <c r="D11" s="3" t="s">
        <v>28</v>
      </c>
      <c r="E11" s="3">
        <v>34</v>
      </c>
      <c r="F11" s="3" t="s">
        <v>23</v>
      </c>
      <c r="G11" s="3" t="s">
        <v>29</v>
      </c>
      <c r="H11" s="3"/>
      <c r="I11" s="3"/>
      <c r="J11" s="21"/>
      <c r="K11" s="3" t="s">
        <v>30</v>
      </c>
      <c r="L11" s="3">
        <v>57666160</v>
      </c>
      <c r="M11" s="20">
        <v>200</v>
      </c>
      <c r="N11" s="34"/>
      <c r="O11" s="3">
        <v>1</v>
      </c>
      <c r="P11" s="3"/>
      <c r="Q11" s="3"/>
      <c r="R11" s="3"/>
      <c r="S11" s="3"/>
    </row>
    <row r="12" spans="1:19" ht="25" customHeight="1" x14ac:dyDescent="0.3">
      <c r="A12" s="3">
        <v>3</v>
      </c>
      <c r="B12" s="3" t="s">
        <v>84</v>
      </c>
      <c r="C12" s="3" t="s">
        <v>85</v>
      </c>
      <c r="D12" s="3" t="s">
        <v>86</v>
      </c>
      <c r="E12" s="3">
        <v>30</v>
      </c>
      <c r="F12" s="3" t="s">
        <v>23</v>
      </c>
      <c r="G12" s="3" t="s">
        <v>29</v>
      </c>
      <c r="H12" s="3"/>
      <c r="I12" s="3"/>
      <c r="J12" s="21"/>
      <c r="K12" s="3" t="s">
        <v>25</v>
      </c>
      <c r="L12" s="3">
        <v>8196287</v>
      </c>
      <c r="M12" s="20">
        <v>200</v>
      </c>
      <c r="N12" s="34"/>
      <c r="O12" s="3">
        <v>1</v>
      </c>
      <c r="P12" s="3"/>
      <c r="Q12" s="3"/>
      <c r="R12" s="3"/>
      <c r="S12" s="3"/>
    </row>
    <row r="13" spans="1:19" ht="25" customHeight="1" x14ac:dyDescent="0.3">
      <c r="A13" s="3">
        <v>4</v>
      </c>
      <c r="B13" s="3" t="s">
        <v>87</v>
      </c>
      <c r="C13" s="3" t="s">
        <v>88</v>
      </c>
      <c r="D13" s="3" t="s">
        <v>89</v>
      </c>
      <c r="E13" s="3">
        <v>34</v>
      </c>
      <c r="F13" s="3" t="s">
        <v>23</v>
      </c>
      <c r="G13" s="3" t="s">
        <v>29</v>
      </c>
      <c r="H13" s="3"/>
      <c r="I13" s="3"/>
      <c r="J13" s="21"/>
      <c r="K13" s="3" t="s">
        <v>25</v>
      </c>
      <c r="L13" s="3">
        <v>8196287</v>
      </c>
      <c r="M13" s="20">
        <v>200</v>
      </c>
      <c r="N13" s="34"/>
      <c r="O13" s="3">
        <v>1</v>
      </c>
      <c r="P13" s="3"/>
      <c r="Q13" s="3"/>
      <c r="R13" s="3"/>
      <c r="S13" s="3"/>
    </row>
    <row r="14" spans="1:19" ht="25" customHeight="1" x14ac:dyDescent="0.3">
      <c r="A14" s="3">
        <v>5</v>
      </c>
      <c r="B14" s="3" t="s">
        <v>90</v>
      </c>
      <c r="C14" s="3" t="s">
        <v>91</v>
      </c>
      <c r="D14" s="3" t="s">
        <v>92</v>
      </c>
      <c r="E14" s="3">
        <v>30</v>
      </c>
      <c r="F14" s="3" t="s">
        <v>23</v>
      </c>
      <c r="G14" s="3" t="s">
        <v>29</v>
      </c>
      <c r="H14" s="3"/>
      <c r="I14" s="3"/>
      <c r="J14" s="21"/>
      <c r="K14" s="3" t="s">
        <v>25</v>
      </c>
      <c r="L14" s="3">
        <v>8196287</v>
      </c>
      <c r="M14" s="20">
        <v>200</v>
      </c>
      <c r="N14" s="34"/>
      <c r="O14" s="3">
        <v>1</v>
      </c>
      <c r="P14" s="3"/>
      <c r="Q14" s="3"/>
      <c r="R14" s="3"/>
      <c r="S14" s="3"/>
    </row>
    <row r="15" spans="1:19" ht="25" customHeight="1" x14ac:dyDescent="0.3">
      <c r="A15" s="3">
        <v>6</v>
      </c>
      <c r="B15" s="3" t="s">
        <v>93</v>
      </c>
      <c r="C15" s="3" t="s">
        <v>94</v>
      </c>
      <c r="D15" s="3" t="s">
        <v>91</v>
      </c>
      <c r="E15" s="3">
        <v>23</v>
      </c>
      <c r="F15" s="3" t="s">
        <v>23</v>
      </c>
      <c r="G15" s="3" t="s">
        <v>29</v>
      </c>
      <c r="H15" s="3"/>
      <c r="I15" s="3"/>
      <c r="J15" s="21"/>
      <c r="K15" s="3" t="s">
        <v>25</v>
      </c>
      <c r="L15" s="3">
        <v>8196287</v>
      </c>
      <c r="M15" s="20">
        <v>200</v>
      </c>
      <c r="N15" s="34"/>
      <c r="O15" s="3">
        <v>1</v>
      </c>
      <c r="P15" s="3"/>
      <c r="Q15" s="3"/>
      <c r="R15" s="3"/>
      <c r="S15" s="3"/>
    </row>
    <row r="16" spans="1:19" ht="25" customHeight="1" x14ac:dyDescent="0.3">
      <c r="A16" s="3">
        <v>7</v>
      </c>
      <c r="B16" s="3" t="s">
        <v>95</v>
      </c>
      <c r="C16" s="3" t="s">
        <v>96</v>
      </c>
      <c r="D16" s="3" t="s">
        <v>97</v>
      </c>
      <c r="E16" s="3">
        <v>22</v>
      </c>
      <c r="F16" s="3" t="s">
        <v>23</v>
      </c>
      <c r="G16" s="3" t="s">
        <v>29</v>
      </c>
      <c r="H16" s="3"/>
      <c r="I16" s="3"/>
      <c r="J16" s="21"/>
      <c r="K16" s="3" t="s">
        <v>25</v>
      </c>
      <c r="L16" s="3">
        <v>8196287</v>
      </c>
      <c r="M16" s="20">
        <v>200</v>
      </c>
      <c r="N16" s="34"/>
      <c r="O16" s="3">
        <v>1</v>
      </c>
      <c r="P16" s="3"/>
      <c r="Q16" s="3"/>
      <c r="R16" s="3"/>
      <c r="S16" s="3"/>
    </row>
    <row r="17" spans="1:19" ht="25" customHeight="1" x14ac:dyDescent="0.3">
      <c r="A17" s="3">
        <v>8</v>
      </c>
      <c r="B17" s="3" t="s">
        <v>98</v>
      </c>
      <c r="C17" s="3" t="s">
        <v>99</v>
      </c>
      <c r="D17" s="3" t="s">
        <v>100</v>
      </c>
      <c r="E17" s="3">
        <v>31</v>
      </c>
      <c r="F17" s="3" t="s">
        <v>23</v>
      </c>
      <c r="G17" s="3" t="s">
        <v>24</v>
      </c>
      <c r="H17" s="3"/>
      <c r="I17" s="3"/>
      <c r="J17" s="21"/>
      <c r="K17" s="3" t="s">
        <v>25</v>
      </c>
      <c r="L17" s="3">
        <v>8196287</v>
      </c>
      <c r="M17" s="20">
        <v>200</v>
      </c>
      <c r="N17" s="34"/>
      <c r="O17" s="3"/>
      <c r="P17" s="3">
        <v>1</v>
      </c>
      <c r="Q17" s="3"/>
      <c r="R17" s="3"/>
      <c r="S17" s="3"/>
    </row>
    <row r="18" spans="1:19" ht="25" customHeight="1" x14ac:dyDescent="0.3">
      <c r="A18" s="3">
        <v>9</v>
      </c>
      <c r="B18" s="3" t="s">
        <v>102</v>
      </c>
      <c r="C18" s="3" t="s">
        <v>86</v>
      </c>
      <c r="D18" s="3" t="s">
        <v>101</v>
      </c>
      <c r="E18" s="3">
        <v>33</v>
      </c>
      <c r="F18" s="3" t="s">
        <v>23</v>
      </c>
      <c r="G18" s="3" t="s">
        <v>29</v>
      </c>
      <c r="H18" s="3"/>
      <c r="I18" s="3"/>
      <c r="J18" s="21"/>
      <c r="K18" s="3" t="s">
        <v>25</v>
      </c>
      <c r="L18" s="3">
        <v>8196287</v>
      </c>
      <c r="M18" s="20">
        <v>200</v>
      </c>
      <c r="N18" s="34"/>
      <c r="O18" s="3">
        <v>1</v>
      </c>
      <c r="P18" s="3"/>
      <c r="Q18" s="3"/>
      <c r="R18" s="3"/>
      <c r="S18" s="3"/>
    </row>
    <row r="19" spans="1:19" ht="25" customHeight="1" x14ac:dyDescent="0.3">
      <c r="A19" s="3">
        <v>10</v>
      </c>
      <c r="B19" s="3" t="s">
        <v>103</v>
      </c>
      <c r="C19" s="3" t="s">
        <v>91</v>
      </c>
      <c r="D19" s="3" t="s">
        <v>104</v>
      </c>
      <c r="E19" s="3">
        <v>23</v>
      </c>
      <c r="F19" s="3" t="s">
        <v>23</v>
      </c>
      <c r="G19" s="3" t="s">
        <v>29</v>
      </c>
      <c r="H19" s="3"/>
      <c r="I19" s="3"/>
      <c r="J19" s="21"/>
      <c r="K19" s="3" t="s">
        <v>68</v>
      </c>
      <c r="L19" s="3">
        <v>240926</v>
      </c>
      <c r="M19" s="20">
        <v>200</v>
      </c>
      <c r="N19" s="34"/>
      <c r="O19" s="3">
        <v>1</v>
      </c>
      <c r="P19" s="3"/>
      <c r="Q19" s="3"/>
      <c r="R19" s="3"/>
      <c r="S19" s="3"/>
    </row>
    <row r="20" spans="1:19" ht="25" customHeight="1" x14ac:dyDescent="0.3">
      <c r="A20" s="3">
        <v>11</v>
      </c>
      <c r="B20" s="3" t="s">
        <v>105</v>
      </c>
      <c r="C20" s="3" t="s">
        <v>106</v>
      </c>
      <c r="D20" s="3" t="s">
        <v>107</v>
      </c>
      <c r="E20" s="3">
        <v>23</v>
      </c>
      <c r="F20" s="3" t="s">
        <v>23</v>
      </c>
      <c r="G20" s="3" t="s">
        <v>29</v>
      </c>
      <c r="H20" s="3"/>
      <c r="I20" s="3"/>
      <c r="J20" s="21"/>
      <c r="K20" s="3" t="s">
        <v>30</v>
      </c>
      <c r="L20" s="3">
        <v>2409260</v>
      </c>
      <c r="M20" s="20">
        <v>200</v>
      </c>
      <c r="N20" s="34"/>
      <c r="O20" s="3">
        <v>1</v>
      </c>
      <c r="P20" s="3"/>
      <c r="Q20" s="3"/>
      <c r="R20" s="3"/>
      <c r="S20" s="3"/>
    </row>
    <row r="21" spans="1:19" ht="25" customHeight="1" x14ac:dyDescent="0.3">
      <c r="A21" s="3">
        <v>12</v>
      </c>
      <c r="B21" s="3" t="s">
        <v>108</v>
      </c>
      <c r="C21" s="3" t="s">
        <v>109</v>
      </c>
      <c r="D21" s="3" t="s">
        <v>306</v>
      </c>
      <c r="E21" s="3">
        <v>25</v>
      </c>
      <c r="F21" s="3" t="s">
        <v>23</v>
      </c>
      <c r="G21" s="3" t="s">
        <v>29</v>
      </c>
      <c r="H21" s="3"/>
      <c r="I21" s="3"/>
      <c r="J21" s="21" t="s">
        <v>406</v>
      </c>
      <c r="K21" s="3" t="s">
        <v>30</v>
      </c>
      <c r="L21" s="3">
        <v>57514975</v>
      </c>
      <c r="M21" s="20">
        <v>200</v>
      </c>
      <c r="N21" s="34"/>
      <c r="O21" s="3">
        <v>1</v>
      </c>
      <c r="P21" s="3"/>
      <c r="Q21" s="3"/>
      <c r="R21" s="3"/>
      <c r="S21" s="3"/>
    </row>
    <row r="22" spans="1:19" ht="25" customHeight="1" x14ac:dyDescent="0.3">
      <c r="A22" s="3">
        <v>13</v>
      </c>
      <c r="B22" s="3" t="s">
        <v>175</v>
      </c>
      <c r="C22" s="3" t="s">
        <v>176</v>
      </c>
      <c r="D22" s="3" t="s">
        <v>177</v>
      </c>
      <c r="E22" s="3">
        <v>26</v>
      </c>
      <c r="F22" s="3" t="s">
        <v>23</v>
      </c>
      <c r="G22" s="3" t="s">
        <v>24</v>
      </c>
      <c r="H22" s="3"/>
      <c r="I22" s="3"/>
      <c r="J22" s="21" t="s">
        <v>2226</v>
      </c>
      <c r="K22" s="3" t="s">
        <v>30</v>
      </c>
      <c r="L22" s="3">
        <v>59812071</v>
      </c>
      <c r="M22" s="20">
        <v>200</v>
      </c>
      <c r="N22" s="34"/>
      <c r="O22" s="3"/>
      <c r="P22" s="3">
        <v>1</v>
      </c>
      <c r="Q22" s="3"/>
      <c r="R22" s="3"/>
      <c r="S22" s="3"/>
    </row>
    <row r="23" spans="1:19" ht="25" customHeight="1" x14ac:dyDescent="0.3">
      <c r="A23" s="3">
        <v>14</v>
      </c>
      <c r="B23" s="3" t="s">
        <v>178</v>
      </c>
      <c r="C23" s="3" t="s">
        <v>179</v>
      </c>
      <c r="D23" s="3"/>
      <c r="E23" s="3">
        <v>22</v>
      </c>
      <c r="F23" s="3" t="s">
        <v>23</v>
      </c>
      <c r="G23" s="3" t="s">
        <v>36</v>
      </c>
      <c r="H23" s="3"/>
      <c r="I23" s="3"/>
      <c r="J23" s="21"/>
      <c r="K23" s="3" t="s">
        <v>30</v>
      </c>
      <c r="L23" s="3">
        <v>99877224</v>
      </c>
      <c r="M23" s="20">
        <v>200</v>
      </c>
      <c r="N23" s="34"/>
      <c r="O23" s="3"/>
      <c r="P23" s="3"/>
      <c r="Q23" s="3">
        <v>1</v>
      </c>
      <c r="R23" s="3"/>
      <c r="S23" s="3"/>
    </row>
    <row r="24" spans="1:19" ht="25" customHeight="1" x14ac:dyDescent="0.3">
      <c r="A24" s="3">
        <v>15</v>
      </c>
      <c r="B24" s="3" t="s">
        <v>188</v>
      </c>
      <c r="C24" s="3" t="s">
        <v>189</v>
      </c>
      <c r="D24" s="3" t="s">
        <v>156</v>
      </c>
      <c r="E24" s="3">
        <v>31</v>
      </c>
      <c r="F24" s="3" t="s">
        <v>23</v>
      </c>
      <c r="G24" s="3" t="s">
        <v>24</v>
      </c>
      <c r="H24" s="3"/>
      <c r="I24" s="3"/>
      <c r="J24" s="21"/>
      <c r="K24" s="3" t="s">
        <v>30</v>
      </c>
      <c r="L24" s="3">
        <v>93008096</v>
      </c>
      <c r="M24" s="20">
        <v>200</v>
      </c>
      <c r="N24" s="34"/>
      <c r="O24" s="3"/>
      <c r="P24" s="3">
        <v>1</v>
      </c>
      <c r="Q24" s="3"/>
      <c r="R24" s="3"/>
      <c r="S24" s="3"/>
    </row>
    <row r="25" spans="1:19" ht="25" customHeight="1" x14ac:dyDescent="0.3">
      <c r="A25" s="3">
        <v>16</v>
      </c>
      <c r="B25" s="3" t="s">
        <v>217</v>
      </c>
      <c r="C25" s="3" t="s">
        <v>218</v>
      </c>
      <c r="D25" s="3" t="s">
        <v>219</v>
      </c>
      <c r="E25" s="3">
        <v>23</v>
      </c>
      <c r="F25" s="3" t="s">
        <v>23</v>
      </c>
      <c r="G25" s="3" t="s">
        <v>29</v>
      </c>
      <c r="H25" s="3"/>
      <c r="I25" s="3"/>
      <c r="J25" s="21"/>
      <c r="K25" s="3" t="s">
        <v>25</v>
      </c>
      <c r="L25" s="6">
        <v>4.3202692510321702E+17</v>
      </c>
      <c r="M25" s="20">
        <v>200</v>
      </c>
      <c r="N25" s="34"/>
      <c r="O25" s="3">
        <v>1</v>
      </c>
      <c r="P25" s="3"/>
      <c r="Q25" s="3"/>
      <c r="R25" s="3"/>
      <c r="S25" s="3"/>
    </row>
    <row r="26" spans="1:19" ht="25" customHeight="1" x14ac:dyDescent="0.3">
      <c r="A26" s="3">
        <v>17</v>
      </c>
      <c r="B26" s="3" t="s">
        <v>229</v>
      </c>
      <c r="C26" s="3" t="s">
        <v>228</v>
      </c>
      <c r="D26" s="3" t="s">
        <v>230</v>
      </c>
      <c r="E26" s="3">
        <v>29</v>
      </c>
      <c r="F26" s="3" t="s">
        <v>23</v>
      </c>
      <c r="G26" s="3" t="s">
        <v>29</v>
      </c>
      <c r="H26" s="3"/>
      <c r="I26" s="3"/>
      <c r="J26" s="21"/>
      <c r="K26" s="3"/>
      <c r="L26" s="6">
        <v>28915826</v>
      </c>
      <c r="M26" s="20">
        <v>200</v>
      </c>
      <c r="N26" s="34"/>
      <c r="O26" s="3">
        <v>1</v>
      </c>
      <c r="P26" s="3"/>
      <c r="Q26" s="3"/>
      <c r="R26" s="3"/>
      <c r="S26" s="3"/>
    </row>
    <row r="27" spans="1:19" ht="25" customHeight="1" x14ac:dyDescent="0.3">
      <c r="A27" s="3">
        <v>18</v>
      </c>
      <c r="B27" s="3" t="s">
        <v>231</v>
      </c>
      <c r="C27" s="3" t="s">
        <v>232</v>
      </c>
      <c r="D27" s="3" t="s">
        <v>233</v>
      </c>
      <c r="E27" s="3">
        <v>30</v>
      </c>
      <c r="F27" s="3" t="s">
        <v>23</v>
      </c>
      <c r="G27" s="3" t="s">
        <v>29</v>
      </c>
      <c r="H27" s="3"/>
      <c r="I27" s="3"/>
      <c r="J27" s="25" t="s">
        <v>364</v>
      </c>
      <c r="K27" s="3" t="s">
        <v>30</v>
      </c>
      <c r="L27" s="6">
        <v>20185878</v>
      </c>
      <c r="M27" s="20">
        <v>200</v>
      </c>
      <c r="N27" s="34"/>
      <c r="O27" s="3">
        <v>1</v>
      </c>
      <c r="P27" s="3"/>
      <c r="Q27" s="3"/>
      <c r="R27" s="3"/>
      <c r="S27" s="3"/>
    </row>
    <row r="28" spans="1:19" ht="25" customHeight="1" x14ac:dyDescent="0.3">
      <c r="A28" s="3">
        <v>19</v>
      </c>
      <c r="B28" s="3" t="s">
        <v>239</v>
      </c>
      <c r="C28" s="3" t="s">
        <v>240</v>
      </c>
      <c r="D28" s="3" t="s">
        <v>241</v>
      </c>
      <c r="E28" s="3">
        <v>26</v>
      </c>
      <c r="F28" s="3" t="s">
        <v>23</v>
      </c>
      <c r="G28" s="3" t="s">
        <v>29</v>
      </c>
      <c r="H28" s="3"/>
      <c r="I28" s="3"/>
      <c r="J28" s="24" t="s">
        <v>360</v>
      </c>
      <c r="K28" s="3" t="s">
        <v>30</v>
      </c>
      <c r="L28" s="6">
        <v>65315723</v>
      </c>
      <c r="M28" s="20">
        <v>600</v>
      </c>
      <c r="N28" s="34"/>
      <c r="O28" s="3">
        <v>1</v>
      </c>
      <c r="P28" s="3"/>
      <c r="Q28" s="3"/>
      <c r="R28" s="3"/>
      <c r="S28" s="3"/>
    </row>
    <row r="29" spans="1:19" ht="25" customHeight="1" x14ac:dyDescent="0.3">
      <c r="A29" s="3">
        <v>20</v>
      </c>
      <c r="B29" s="3" t="s">
        <v>242</v>
      </c>
      <c r="C29" s="3" t="s">
        <v>243</v>
      </c>
      <c r="D29" s="3" t="s">
        <v>244</v>
      </c>
      <c r="E29" s="3">
        <v>24</v>
      </c>
      <c r="F29" s="3" t="s">
        <v>23</v>
      </c>
      <c r="G29" s="3" t="s">
        <v>29</v>
      </c>
      <c r="H29" s="3"/>
      <c r="I29" s="3"/>
      <c r="J29" s="24" t="s">
        <v>363</v>
      </c>
      <c r="K29" s="3" t="s">
        <v>30</v>
      </c>
      <c r="L29" s="3">
        <v>94255108</v>
      </c>
      <c r="M29" s="20">
        <v>200</v>
      </c>
      <c r="N29" s="34"/>
      <c r="O29" s="3">
        <v>1</v>
      </c>
      <c r="P29" s="3"/>
      <c r="Q29" s="3"/>
      <c r="R29" s="3"/>
      <c r="S29" s="3"/>
    </row>
    <row r="30" spans="1:19" ht="25" customHeight="1" x14ac:dyDescent="0.3">
      <c r="A30" s="3">
        <v>21</v>
      </c>
      <c r="B30" s="3" t="s">
        <v>245</v>
      </c>
      <c r="C30" s="3" t="s">
        <v>246</v>
      </c>
      <c r="D30" s="3" t="s">
        <v>247</v>
      </c>
      <c r="E30" s="3">
        <v>31</v>
      </c>
      <c r="F30" s="3" t="s">
        <v>23</v>
      </c>
      <c r="G30" s="3" t="s">
        <v>248</v>
      </c>
      <c r="H30" s="3"/>
      <c r="I30" s="3"/>
      <c r="J30" s="25"/>
      <c r="K30" s="3" t="s">
        <v>30</v>
      </c>
      <c r="L30" s="3">
        <v>88112206</v>
      </c>
      <c r="M30" s="20">
        <v>200</v>
      </c>
      <c r="N30" s="34"/>
      <c r="O30" s="3"/>
      <c r="P30" s="3">
        <v>1</v>
      </c>
      <c r="Q30" s="3"/>
      <c r="R30" s="3"/>
      <c r="S30" s="3"/>
    </row>
    <row r="31" spans="1:19" ht="25" customHeight="1" x14ac:dyDescent="0.3">
      <c r="A31" s="3">
        <v>22</v>
      </c>
      <c r="B31" s="3" t="s">
        <v>365</v>
      </c>
      <c r="C31" s="3" t="s">
        <v>366</v>
      </c>
      <c r="D31" s="3" t="s">
        <v>85</v>
      </c>
      <c r="E31" s="3">
        <v>32</v>
      </c>
      <c r="F31" s="3" t="s">
        <v>23</v>
      </c>
      <c r="G31" s="3" t="s">
        <v>29</v>
      </c>
      <c r="H31" s="3"/>
      <c r="I31" s="3"/>
      <c r="J31" s="25" t="s">
        <v>364</v>
      </c>
      <c r="K31" s="3" t="s">
        <v>30</v>
      </c>
      <c r="L31" s="3">
        <v>44396023</v>
      </c>
      <c r="M31" s="20">
        <v>200</v>
      </c>
      <c r="N31" s="34"/>
      <c r="O31" s="3">
        <v>1</v>
      </c>
      <c r="P31" s="3"/>
      <c r="Q31" s="3"/>
      <c r="R31" s="3"/>
      <c r="S31" s="3"/>
    </row>
    <row r="32" spans="1:19" ht="25" customHeight="1" x14ac:dyDescent="0.3">
      <c r="A32" s="3">
        <v>23</v>
      </c>
      <c r="B32" s="3" t="s">
        <v>356</v>
      </c>
      <c r="C32" s="3" t="s">
        <v>111</v>
      </c>
      <c r="D32" s="3" t="s">
        <v>357</v>
      </c>
      <c r="E32" s="3">
        <v>34</v>
      </c>
      <c r="F32" s="3" t="s">
        <v>23</v>
      </c>
      <c r="G32" s="3" t="s">
        <v>29</v>
      </c>
      <c r="H32" s="3"/>
      <c r="I32" s="3"/>
      <c r="J32" s="25" t="s">
        <v>314</v>
      </c>
      <c r="K32" s="3" t="s">
        <v>30</v>
      </c>
      <c r="L32" s="3">
        <v>63911580</v>
      </c>
      <c r="M32" s="20">
        <v>200</v>
      </c>
      <c r="N32" s="34"/>
      <c r="O32" s="3">
        <v>1</v>
      </c>
      <c r="P32" s="3"/>
      <c r="Q32" s="3"/>
      <c r="R32" s="3"/>
      <c r="S32" s="3"/>
    </row>
    <row r="33" spans="1:19" ht="25" customHeight="1" x14ac:dyDescent="0.3">
      <c r="A33" s="3">
        <v>24</v>
      </c>
      <c r="B33" s="3" t="s">
        <v>102</v>
      </c>
      <c r="C33" s="3" t="s">
        <v>371</v>
      </c>
      <c r="D33" s="3" t="s">
        <v>372</v>
      </c>
      <c r="E33" s="3">
        <v>26</v>
      </c>
      <c r="F33" s="3" t="s">
        <v>23</v>
      </c>
      <c r="G33" s="3" t="s">
        <v>29</v>
      </c>
      <c r="H33" s="3"/>
      <c r="I33" s="3"/>
      <c r="J33" s="25" t="s">
        <v>314</v>
      </c>
      <c r="K33" s="3"/>
      <c r="L33" s="3"/>
      <c r="M33" s="20">
        <v>200</v>
      </c>
      <c r="N33" s="33"/>
      <c r="O33" s="3">
        <v>1</v>
      </c>
      <c r="P33" s="3"/>
      <c r="Q33" s="3"/>
      <c r="R33" s="3"/>
      <c r="S33" s="3"/>
    </row>
    <row r="34" spans="1:19" ht="25" customHeight="1" x14ac:dyDescent="0.3">
      <c r="A34" s="3">
        <v>25</v>
      </c>
      <c r="B34" s="3" t="s">
        <v>373</v>
      </c>
      <c r="C34" s="3" t="s">
        <v>374</v>
      </c>
      <c r="D34" s="3" t="s">
        <v>375</v>
      </c>
      <c r="E34" s="3">
        <v>24</v>
      </c>
      <c r="F34" s="3" t="s">
        <v>23</v>
      </c>
      <c r="G34" s="3" t="s">
        <v>29</v>
      </c>
      <c r="H34" s="3"/>
      <c r="I34" s="3"/>
      <c r="J34" s="25" t="s">
        <v>314</v>
      </c>
      <c r="K34" s="3"/>
      <c r="L34" s="3"/>
      <c r="M34" s="20">
        <v>200</v>
      </c>
      <c r="N34" s="33"/>
      <c r="O34" s="3">
        <v>1</v>
      </c>
      <c r="P34" s="3"/>
      <c r="Q34" s="3"/>
      <c r="R34" s="3"/>
      <c r="S34" s="3"/>
    </row>
    <row r="35" spans="1:19" ht="25" customHeight="1" x14ac:dyDescent="0.3">
      <c r="A35" s="3">
        <v>26</v>
      </c>
      <c r="B35" s="3" t="s">
        <v>376</v>
      </c>
      <c r="C35" s="3" t="s">
        <v>377</v>
      </c>
      <c r="D35" s="3" t="s">
        <v>201</v>
      </c>
      <c r="E35" s="3">
        <v>35</v>
      </c>
      <c r="F35" s="3" t="s">
        <v>23</v>
      </c>
      <c r="G35" s="3" t="s">
        <v>36</v>
      </c>
      <c r="H35" s="3"/>
      <c r="I35" s="3"/>
      <c r="J35" s="25" t="s">
        <v>378</v>
      </c>
      <c r="K35" s="3" t="s">
        <v>30</v>
      </c>
      <c r="L35" s="3">
        <v>60185970</v>
      </c>
      <c r="M35" s="20">
        <v>200</v>
      </c>
      <c r="N35" s="33"/>
      <c r="O35" s="3"/>
      <c r="P35" s="3"/>
      <c r="Q35" s="3">
        <v>1</v>
      </c>
      <c r="R35" s="3"/>
      <c r="S35" s="3"/>
    </row>
    <row r="36" spans="1:19" ht="25" customHeight="1" x14ac:dyDescent="0.3">
      <c r="A36" s="3">
        <v>27</v>
      </c>
      <c r="B36" s="3" t="s">
        <v>402</v>
      </c>
      <c r="C36" s="3" t="s">
        <v>126</v>
      </c>
      <c r="D36" s="3" t="s">
        <v>403</v>
      </c>
      <c r="E36" s="3">
        <v>28</v>
      </c>
      <c r="F36" s="3" t="s">
        <v>23</v>
      </c>
      <c r="G36" s="3" t="s">
        <v>24</v>
      </c>
      <c r="H36" s="3"/>
      <c r="I36" s="3"/>
      <c r="J36" s="25" t="s">
        <v>404</v>
      </c>
      <c r="K36" s="3" t="s">
        <v>405</v>
      </c>
      <c r="L36" s="3">
        <v>2.0260926401691701E+24</v>
      </c>
      <c r="M36" s="20">
        <v>200</v>
      </c>
      <c r="N36" s="34"/>
      <c r="O36" s="3"/>
      <c r="P36" s="3">
        <v>1</v>
      </c>
      <c r="Q36" s="3"/>
      <c r="R36" s="3"/>
      <c r="S36" s="3"/>
    </row>
    <row r="37" spans="1:19" ht="25" customHeight="1" x14ac:dyDescent="0.3">
      <c r="A37" s="3">
        <v>28</v>
      </c>
      <c r="B37" s="3" t="s">
        <v>416</v>
      </c>
      <c r="C37" s="3" t="s">
        <v>201</v>
      </c>
      <c r="D37" s="3" t="s">
        <v>417</v>
      </c>
      <c r="E37" s="3">
        <v>23</v>
      </c>
      <c r="F37" s="3" t="s">
        <v>23</v>
      </c>
      <c r="G37" s="3" t="s">
        <v>36</v>
      </c>
      <c r="H37" s="3"/>
      <c r="I37" s="3"/>
      <c r="J37" s="25" t="s">
        <v>409</v>
      </c>
      <c r="K37" s="3" t="s">
        <v>30</v>
      </c>
      <c r="L37" s="3">
        <v>99815676</v>
      </c>
      <c r="M37" s="20">
        <v>200</v>
      </c>
      <c r="N37" s="34"/>
      <c r="O37" s="3"/>
      <c r="P37" s="3"/>
      <c r="Q37" s="3">
        <v>1</v>
      </c>
      <c r="R37" s="3"/>
      <c r="S37" s="3"/>
    </row>
    <row r="38" spans="1:19" ht="25" customHeight="1" x14ac:dyDescent="0.3">
      <c r="A38" s="3">
        <v>29</v>
      </c>
      <c r="B38" s="3" t="s">
        <v>373</v>
      </c>
      <c r="C38" s="3" t="s">
        <v>418</v>
      </c>
      <c r="D38" s="3" t="s">
        <v>109</v>
      </c>
      <c r="E38" s="3">
        <v>26</v>
      </c>
      <c r="F38" s="3" t="s">
        <v>23</v>
      </c>
      <c r="G38" s="3" t="s">
        <v>29</v>
      </c>
      <c r="H38" s="3"/>
      <c r="I38" s="3"/>
      <c r="J38" s="25" t="s">
        <v>314</v>
      </c>
      <c r="K38" s="3" t="s">
        <v>30</v>
      </c>
      <c r="L38" s="3">
        <v>74861722</v>
      </c>
      <c r="M38" s="20">
        <v>200</v>
      </c>
      <c r="N38" s="34"/>
      <c r="O38" s="3">
        <v>1</v>
      </c>
      <c r="P38" s="3"/>
      <c r="Q38" s="3"/>
      <c r="R38" s="3"/>
      <c r="S38" s="3"/>
    </row>
    <row r="39" spans="1:19" ht="25" customHeight="1" x14ac:dyDescent="0.3">
      <c r="A39" s="3">
        <v>30</v>
      </c>
      <c r="B39" s="3" t="s">
        <v>419</v>
      </c>
      <c r="C39" s="3" t="s">
        <v>99</v>
      </c>
      <c r="D39" s="3" t="s">
        <v>420</v>
      </c>
      <c r="E39" s="3">
        <v>29</v>
      </c>
      <c r="F39" s="3" t="s">
        <v>23</v>
      </c>
      <c r="G39" s="3" t="s">
        <v>24</v>
      </c>
      <c r="H39" s="3"/>
      <c r="I39" s="3"/>
      <c r="J39" s="25" t="s">
        <v>421</v>
      </c>
      <c r="K39" s="3" t="s">
        <v>67</v>
      </c>
      <c r="L39" s="3">
        <v>8.5905777480326896E+16</v>
      </c>
      <c r="M39" s="20">
        <v>200</v>
      </c>
      <c r="N39" s="34"/>
      <c r="O39" s="3"/>
      <c r="P39" s="3">
        <v>1</v>
      </c>
      <c r="Q39" s="3"/>
      <c r="R39" s="3"/>
      <c r="S39" s="3"/>
    </row>
    <row r="40" spans="1:19" ht="25" customHeight="1" x14ac:dyDescent="0.3">
      <c r="A40" s="3">
        <v>31</v>
      </c>
      <c r="B40" s="3" t="s">
        <v>425</v>
      </c>
      <c r="C40" s="3" t="s">
        <v>354</v>
      </c>
      <c r="D40" s="3" t="s">
        <v>426</v>
      </c>
      <c r="E40" s="3">
        <v>24</v>
      </c>
      <c r="F40" s="3" t="s">
        <v>23</v>
      </c>
      <c r="G40" s="3" t="s">
        <v>24</v>
      </c>
      <c r="H40" s="3"/>
      <c r="I40" s="3"/>
      <c r="J40" s="25" t="s">
        <v>415</v>
      </c>
      <c r="K40" s="3" t="s">
        <v>216</v>
      </c>
      <c r="L40" s="3">
        <v>1710258</v>
      </c>
      <c r="M40" s="20">
        <v>200</v>
      </c>
      <c r="N40" s="34"/>
      <c r="O40" s="3"/>
      <c r="P40" s="3">
        <v>1</v>
      </c>
      <c r="Q40" s="3"/>
      <c r="R40" s="3"/>
      <c r="S40" s="3"/>
    </row>
    <row r="41" spans="1:19" ht="25" customHeight="1" x14ac:dyDescent="0.3">
      <c r="A41" s="3">
        <v>32</v>
      </c>
      <c r="B41" s="3" t="s">
        <v>449</v>
      </c>
      <c r="C41" s="3" t="s">
        <v>354</v>
      </c>
      <c r="D41" s="3" t="s">
        <v>450</v>
      </c>
      <c r="E41" s="3">
        <v>30</v>
      </c>
      <c r="F41" s="3" t="s">
        <v>23</v>
      </c>
      <c r="G41" s="3" t="s">
        <v>36</v>
      </c>
      <c r="H41" s="3"/>
      <c r="I41" s="3"/>
      <c r="J41" s="25" t="s">
        <v>451</v>
      </c>
      <c r="K41" s="3" t="s">
        <v>249</v>
      </c>
      <c r="L41" s="3" t="s">
        <v>452</v>
      </c>
      <c r="M41" s="20">
        <v>200</v>
      </c>
      <c r="N41" s="34"/>
      <c r="O41" s="3"/>
      <c r="P41" s="3"/>
      <c r="Q41" s="3">
        <v>1</v>
      </c>
      <c r="R41" s="3"/>
      <c r="S41" s="3"/>
    </row>
    <row r="42" spans="1:19" ht="25" customHeight="1" x14ac:dyDescent="0.3">
      <c r="A42" s="3">
        <v>33</v>
      </c>
      <c r="B42" s="3" t="s">
        <v>457</v>
      </c>
      <c r="C42" s="3" t="s">
        <v>458</v>
      </c>
      <c r="D42" s="3" t="s">
        <v>200</v>
      </c>
      <c r="E42" s="3">
        <v>27</v>
      </c>
      <c r="F42" s="3" t="s">
        <v>23</v>
      </c>
      <c r="G42" s="3" t="s">
        <v>64</v>
      </c>
      <c r="H42" s="3"/>
      <c r="I42" s="3"/>
      <c r="J42" s="25" t="s">
        <v>451</v>
      </c>
      <c r="K42" s="3" t="s">
        <v>249</v>
      </c>
      <c r="L42" s="3" t="s">
        <v>459</v>
      </c>
      <c r="M42" s="20">
        <v>200</v>
      </c>
      <c r="N42" s="34"/>
      <c r="O42" s="3"/>
      <c r="P42" s="3"/>
      <c r="Q42" s="3"/>
      <c r="R42" s="3">
        <v>1</v>
      </c>
      <c r="S42" s="3"/>
    </row>
    <row r="43" spans="1:19" ht="25" customHeight="1" x14ac:dyDescent="0.3">
      <c r="A43" s="3">
        <v>34</v>
      </c>
      <c r="B43" s="3" t="s">
        <v>474</v>
      </c>
      <c r="C43" s="3"/>
      <c r="D43" s="3"/>
      <c r="E43" s="3">
        <v>29</v>
      </c>
      <c r="F43" s="3" t="s">
        <v>23</v>
      </c>
      <c r="G43" s="3" t="s">
        <v>24</v>
      </c>
      <c r="H43" s="3"/>
      <c r="I43" s="3"/>
      <c r="J43" s="25" t="s">
        <v>475</v>
      </c>
      <c r="K43" s="3"/>
      <c r="L43" s="3"/>
      <c r="M43" s="20">
        <v>200</v>
      </c>
      <c r="N43" s="34"/>
      <c r="O43" s="3"/>
      <c r="P43" s="3">
        <v>1</v>
      </c>
      <c r="Q43" s="3"/>
      <c r="R43" s="3"/>
      <c r="S43" s="3"/>
    </row>
    <row r="44" spans="1:19" ht="25" customHeight="1" x14ac:dyDescent="0.3">
      <c r="A44" s="3">
        <v>35</v>
      </c>
      <c r="B44" s="3" t="s">
        <v>485</v>
      </c>
      <c r="C44" s="3"/>
      <c r="D44" s="3"/>
      <c r="E44" s="3">
        <v>25</v>
      </c>
      <c r="F44" s="3" t="s">
        <v>23</v>
      </c>
      <c r="G44" s="3" t="s">
        <v>29</v>
      </c>
      <c r="H44" s="3"/>
      <c r="I44" s="3"/>
      <c r="J44" s="25" t="s">
        <v>484</v>
      </c>
      <c r="K44" s="3"/>
      <c r="L44" s="3"/>
      <c r="M44" s="20">
        <v>200</v>
      </c>
      <c r="N44" s="34"/>
      <c r="O44" s="3">
        <v>1</v>
      </c>
      <c r="P44" s="3"/>
      <c r="Q44" s="3"/>
      <c r="R44" s="3"/>
      <c r="S44" s="3"/>
    </row>
    <row r="45" spans="1:19" ht="25" customHeight="1" x14ac:dyDescent="0.35">
      <c r="A45" s="3">
        <v>36</v>
      </c>
      <c r="B45" s="37" t="s">
        <v>495</v>
      </c>
      <c r="C45" s="3"/>
      <c r="D45" s="3"/>
      <c r="E45" s="3">
        <v>35</v>
      </c>
      <c r="F45" s="3" t="s">
        <v>23</v>
      </c>
      <c r="G45" s="3" t="s">
        <v>36</v>
      </c>
      <c r="H45" s="3"/>
      <c r="I45" s="3"/>
      <c r="J45" s="23" t="s">
        <v>491</v>
      </c>
      <c r="K45" s="3"/>
      <c r="L45" s="3"/>
      <c r="M45" s="20">
        <v>200</v>
      </c>
      <c r="N45" s="34"/>
      <c r="O45" s="3"/>
      <c r="P45" s="3"/>
      <c r="Q45" s="3">
        <v>1</v>
      </c>
      <c r="R45" s="3"/>
      <c r="S45" s="3"/>
    </row>
    <row r="46" spans="1:19" ht="25" customHeight="1" x14ac:dyDescent="0.35">
      <c r="A46" s="3">
        <v>37</v>
      </c>
      <c r="B46" s="37" t="s">
        <v>496</v>
      </c>
      <c r="C46" s="3"/>
      <c r="D46" s="3"/>
      <c r="E46" s="3">
        <v>28</v>
      </c>
      <c r="F46" s="3"/>
      <c r="G46" s="3" t="s">
        <v>36</v>
      </c>
      <c r="H46" s="3"/>
      <c r="I46" s="3"/>
      <c r="J46" s="23" t="s">
        <v>491</v>
      </c>
      <c r="K46" s="3"/>
      <c r="L46" s="3"/>
      <c r="M46" s="20">
        <v>200</v>
      </c>
      <c r="N46" s="34"/>
      <c r="O46" s="3"/>
      <c r="P46" s="3"/>
      <c r="Q46" s="3">
        <v>1</v>
      </c>
      <c r="R46" s="3"/>
      <c r="S46" s="3"/>
    </row>
    <row r="47" spans="1:19" ht="25" customHeight="1" x14ac:dyDescent="0.3">
      <c r="A47" s="3">
        <v>38</v>
      </c>
      <c r="B47" s="3" t="s">
        <v>2228</v>
      </c>
      <c r="C47" s="3" t="s">
        <v>577</v>
      </c>
      <c r="D47" s="3" t="s">
        <v>179</v>
      </c>
      <c r="E47" s="3">
        <v>26</v>
      </c>
      <c r="F47" s="3" t="s">
        <v>23</v>
      </c>
      <c r="G47" s="3" t="s">
        <v>24</v>
      </c>
      <c r="H47" s="3"/>
      <c r="I47" s="3"/>
      <c r="J47" s="23" t="s">
        <v>491</v>
      </c>
      <c r="K47" s="3"/>
      <c r="L47" s="3"/>
      <c r="M47" s="20">
        <v>200</v>
      </c>
      <c r="N47" s="34"/>
      <c r="O47" s="3"/>
      <c r="P47" s="3">
        <v>1</v>
      </c>
      <c r="Q47" s="3"/>
      <c r="R47" s="3"/>
      <c r="S47" s="3"/>
    </row>
    <row r="48" spans="1:19" ht="25" customHeight="1" x14ac:dyDescent="0.3">
      <c r="A48" s="3">
        <v>39</v>
      </c>
      <c r="B48" s="3" t="s">
        <v>2229</v>
      </c>
      <c r="C48" s="3" t="s">
        <v>610</v>
      </c>
      <c r="D48" s="3" t="s">
        <v>21</v>
      </c>
      <c r="E48" s="3">
        <v>31</v>
      </c>
      <c r="F48" s="3" t="s">
        <v>23</v>
      </c>
      <c r="G48" s="3" t="s">
        <v>36</v>
      </c>
      <c r="H48" s="3"/>
      <c r="I48" s="3"/>
      <c r="J48" s="23" t="s">
        <v>491</v>
      </c>
      <c r="K48" s="3"/>
      <c r="L48" s="3"/>
      <c r="M48" s="20">
        <v>200</v>
      </c>
      <c r="N48" s="34"/>
      <c r="O48" s="3"/>
      <c r="P48" s="3"/>
      <c r="Q48" s="3">
        <v>1</v>
      </c>
      <c r="R48" s="3"/>
      <c r="S48" s="3"/>
    </row>
    <row r="49" spans="1:19" ht="25" customHeight="1" x14ac:dyDescent="0.3">
      <c r="A49" s="3">
        <v>40</v>
      </c>
      <c r="B49" s="3" t="s">
        <v>1925</v>
      </c>
      <c r="C49" s="3" t="s">
        <v>2227</v>
      </c>
      <c r="D49" s="3" t="s">
        <v>433</v>
      </c>
      <c r="E49" s="3">
        <v>33</v>
      </c>
      <c r="F49" s="3" t="s">
        <v>23</v>
      </c>
      <c r="G49" s="3" t="s">
        <v>36</v>
      </c>
      <c r="H49" s="3"/>
      <c r="I49" s="3"/>
      <c r="J49" s="23" t="s">
        <v>491</v>
      </c>
      <c r="K49" s="3"/>
      <c r="L49" s="3"/>
      <c r="M49" s="20">
        <v>200</v>
      </c>
      <c r="N49" s="34"/>
      <c r="O49" s="3"/>
      <c r="P49" s="3">
        <v>1</v>
      </c>
      <c r="Q49" s="3"/>
      <c r="R49" s="3"/>
      <c r="S49" s="3"/>
    </row>
    <row r="50" spans="1:19" ht="25" customHeight="1" x14ac:dyDescent="0.3">
      <c r="A50" s="3">
        <v>41</v>
      </c>
      <c r="B50" s="3" t="s">
        <v>498</v>
      </c>
      <c r="C50" s="3" t="s">
        <v>499</v>
      </c>
      <c r="D50" s="3" t="s">
        <v>500</v>
      </c>
      <c r="E50" s="3">
        <v>28</v>
      </c>
      <c r="F50" s="3" t="s">
        <v>23</v>
      </c>
      <c r="G50" s="3" t="s">
        <v>36</v>
      </c>
      <c r="H50" s="3"/>
      <c r="I50" s="3"/>
      <c r="J50" s="25" t="s">
        <v>501</v>
      </c>
      <c r="K50" s="3"/>
      <c r="L50" s="3"/>
      <c r="M50" s="20">
        <v>200</v>
      </c>
      <c r="N50" s="34"/>
      <c r="O50" s="3"/>
      <c r="P50" s="3"/>
      <c r="Q50" s="3">
        <v>1</v>
      </c>
      <c r="R50" s="3"/>
      <c r="S50" s="3"/>
    </row>
    <row r="51" spans="1:19" ht="25" customHeight="1" x14ac:dyDescent="0.3">
      <c r="A51" s="3">
        <v>42</v>
      </c>
      <c r="B51" s="3" t="s">
        <v>506</v>
      </c>
      <c r="C51" s="3" t="s">
        <v>507</v>
      </c>
      <c r="D51" s="3" t="s">
        <v>508</v>
      </c>
      <c r="E51" s="3">
        <v>25</v>
      </c>
      <c r="F51" s="3" t="s">
        <v>23</v>
      </c>
      <c r="G51" s="3" t="s">
        <v>24</v>
      </c>
      <c r="H51" s="3"/>
      <c r="I51" s="3"/>
      <c r="J51" s="25" t="s">
        <v>509</v>
      </c>
      <c r="K51" s="3"/>
      <c r="L51" s="3"/>
      <c r="M51" s="20">
        <v>200</v>
      </c>
      <c r="N51" s="34"/>
      <c r="O51" s="3"/>
      <c r="P51" s="3">
        <v>1</v>
      </c>
      <c r="Q51" s="3"/>
      <c r="R51" s="3"/>
      <c r="S51" s="3"/>
    </row>
    <row r="52" spans="1:19" ht="25" customHeight="1" x14ac:dyDescent="0.3">
      <c r="A52" s="3">
        <v>43</v>
      </c>
      <c r="B52" s="3" t="s">
        <v>517</v>
      </c>
      <c r="C52" s="3" t="s">
        <v>518</v>
      </c>
      <c r="D52" s="3" t="s">
        <v>514</v>
      </c>
      <c r="E52" s="3">
        <v>25</v>
      </c>
      <c r="F52" s="3" t="s">
        <v>23</v>
      </c>
      <c r="G52" s="3" t="s">
        <v>24</v>
      </c>
      <c r="H52" s="3"/>
      <c r="I52" s="3"/>
      <c r="J52" s="25" t="s">
        <v>519</v>
      </c>
      <c r="K52" s="3"/>
      <c r="L52" s="3"/>
      <c r="M52" s="20">
        <v>200</v>
      </c>
      <c r="N52" s="34"/>
      <c r="O52" s="3"/>
      <c r="P52" s="3">
        <v>1</v>
      </c>
      <c r="Q52" s="3"/>
      <c r="R52" s="3"/>
      <c r="S52" s="3"/>
    </row>
    <row r="53" spans="1:19" ht="25" customHeight="1" x14ac:dyDescent="0.3">
      <c r="A53" s="3">
        <v>44</v>
      </c>
      <c r="B53" s="3" t="s">
        <v>2230</v>
      </c>
      <c r="C53" s="3" t="s">
        <v>850</v>
      </c>
      <c r="D53" s="3" t="s">
        <v>88</v>
      </c>
      <c r="E53" s="3">
        <v>24</v>
      </c>
      <c r="F53" s="3" t="s">
        <v>23</v>
      </c>
      <c r="G53" s="3" t="s">
        <v>29</v>
      </c>
      <c r="H53" s="3"/>
      <c r="I53" s="3"/>
      <c r="J53" s="25" t="s">
        <v>524</v>
      </c>
      <c r="K53" s="3"/>
      <c r="L53" s="3"/>
      <c r="M53" s="20">
        <v>200</v>
      </c>
      <c r="N53" s="34"/>
      <c r="O53" s="3">
        <v>1</v>
      </c>
      <c r="P53" s="3"/>
      <c r="Q53" s="3"/>
      <c r="R53" s="3"/>
      <c r="S53" s="3"/>
    </row>
    <row r="54" spans="1:19" ht="25" customHeight="1" x14ac:dyDescent="0.3">
      <c r="A54" s="3">
        <v>45</v>
      </c>
      <c r="B54" s="3" t="s">
        <v>1496</v>
      </c>
      <c r="C54" s="3" t="s">
        <v>34</v>
      </c>
      <c r="D54" s="3" t="s">
        <v>166</v>
      </c>
      <c r="E54" s="3">
        <v>35</v>
      </c>
      <c r="F54" s="3" t="s">
        <v>23</v>
      </c>
      <c r="G54" s="3" t="s">
        <v>24</v>
      </c>
      <c r="H54" s="3"/>
      <c r="I54" s="3"/>
      <c r="J54" s="25" t="s">
        <v>524</v>
      </c>
      <c r="K54" s="3"/>
      <c r="L54" s="3"/>
      <c r="M54" s="20">
        <v>200</v>
      </c>
      <c r="N54" s="34"/>
      <c r="O54" s="3"/>
      <c r="P54" s="3">
        <v>1</v>
      </c>
      <c r="Q54" s="3"/>
      <c r="R54" s="3"/>
      <c r="S54" s="3"/>
    </row>
    <row r="55" spans="1:19" ht="25" customHeight="1" x14ac:dyDescent="0.3">
      <c r="A55" s="3">
        <v>46</v>
      </c>
      <c r="B55" s="3" t="s">
        <v>539</v>
      </c>
      <c r="C55" s="3" t="s">
        <v>540</v>
      </c>
      <c r="D55" s="3" t="s">
        <v>541</v>
      </c>
      <c r="E55" s="3">
        <v>24</v>
      </c>
      <c r="F55" s="3" t="s">
        <v>23</v>
      </c>
      <c r="G55" s="3" t="s">
        <v>29</v>
      </c>
      <c r="H55" s="3"/>
      <c r="I55" s="3"/>
      <c r="J55" s="25" t="s">
        <v>548</v>
      </c>
      <c r="K55" s="3"/>
      <c r="L55" s="3"/>
      <c r="M55" s="20">
        <v>200</v>
      </c>
      <c r="N55" s="34"/>
      <c r="O55" s="3">
        <v>1</v>
      </c>
      <c r="P55" s="3"/>
      <c r="Q55" s="3"/>
      <c r="R55" s="3"/>
      <c r="S55" s="3"/>
    </row>
    <row r="56" spans="1:19" ht="25" customHeight="1" x14ac:dyDescent="0.3">
      <c r="A56" s="3">
        <v>47</v>
      </c>
      <c r="B56" s="3" t="s">
        <v>546</v>
      </c>
      <c r="C56" s="3" t="s">
        <v>547</v>
      </c>
      <c r="D56" s="3" t="s">
        <v>272</v>
      </c>
      <c r="E56" s="3">
        <v>26</v>
      </c>
      <c r="F56" s="3" t="s">
        <v>23</v>
      </c>
      <c r="G56" s="3" t="s">
        <v>24</v>
      </c>
      <c r="H56" s="3"/>
      <c r="I56" s="3"/>
      <c r="J56" s="25" t="s">
        <v>548</v>
      </c>
      <c r="K56" s="3"/>
      <c r="L56" s="3"/>
      <c r="M56" s="20">
        <v>200</v>
      </c>
      <c r="N56" s="34"/>
      <c r="O56" s="3"/>
      <c r="P56" s="3">
        <v>1</v>
      </c>
      <c r="Q56" s="3"/>
      <c r="R56" s="3"/>
      <c r="S56" s="3"/>
    </row>
    <row r="57" spans="1:19" ht="25" customHeight="1" x14ac:dyDescent="0.3">
      <c r="A57" s="3">
        <v>48</v>
      </c>
      <c r="B57" s="3" t="s">
        <v>568</v>
      </c>
      <c r="C57" s="3" t="s">
        <v>569</v>
      </c>
      <c r="D57" s="3" t="s">
        <v>570</v>
      </c>
      <c r="E57" s="3">
        <v>34</v>
      </c>
      <c r="F57" s="3" t="s">
        <v>23</v>
      </c>
      <c r="G57" s="3" t="s">
        <v>36</v>
      </c>
      <c r="H57" s="3"/>
      <c r="I57" s="3"/>
      <c r="J57" s="25" t="s">
        <v>571</v>
      </c>
      <c r="K57" s="3" t="s">
        <v>447</v>
      </c>
      <c r="L57" s="3" t="s">
        <v>572</v>
      </c>
      <c r="M57" s="20">
        <v>200</v>
      </c>
      <c r="N57" s="34"/>
      <c r="O57" s="3"/>
      <c r="P57" s="3"/>
      <c r="Q57" s="3">
        <v>1</v>
      </c>
      <c r="R57" s="3"/>
      <c r="S57" s="3"/>
    </row>
    <row r="58" spans="1:19" ht="25" customHeight="1" x14ac:dyDescent="0.3">
      <c r="A58" s="3">
        <v>49</v>
      </c>
      <c r="B58" s="3" t="s">
        <v>575</v>
      </c>
      <c r="C58" s="3" t="s">
        <v>576</v>
      </c>
      <c r="D58" s="3" t="s">
        <v>577</v>
      </c>
      <c r="E58" s="3">
        <v>33</v>
      </c>
      <c r="F58" s="3" t="s">
        <v>23</v>
      </c>
      <c r="G58" s="3" t="s">
        <v>24</v>
      </c>
      <c r="H58" s="3"/>
      <c r="I58" s="3"/>
      <c r="J58" s="25" t="s">
        <v>578</v>
      </c>
      <c r="K58" s="3" t="s">
        <v>48</v>
      </c>
      <c r="L58" s="3">
        <v>181346406540</v>
      </c>
      <c r="M58" s="20">
        <v>200</v>
      </c>
      <c r="N58" s="34"/>
      <c r="O58" s="3"/>
      <c r="P58" s="3">
        <v>1</v>
      </c>
      <c r="Q58" s="3"/>
      <c r="R58" s="3"/>
      <c r="S58" s="3"/>
    </row>
    <row r="59" spans="1:19" ht="25" customHeight="1" x14ac:dyDescent="0.3">
      <c r="A59" s="3">
        <v>50</v>
      </c>
      <c r="B59" s="3" t="s">
        <v>590</v>
      </c>
      <c r="C59" s="3" t="s">
        <v>591</v>
      </c>
      <c r="D59" s="3" t="s">
        <v>592</v>
      </c>
      <c r="E59" s="3">
        <v>32</v>
      </c>
      <c r="F59" s="3" t="s">
        <v>23</v>
      </c>
      <c r="G59" s="3" t="s">
        <v>24</v>
      </c>
      <c r="H59" s="3"/>
      <c r="I59" s="3"/>
      <c r="J59" s="25" t="s">
        <v>453</v>
      </c>
      <c r="K59" s="3" t="s">
        <v>48</v>
      </c>
      <c r="L59" s="3">
        <v>180343247785</v>
      </c>
      <c r="M59" s="20">
        <v>200</v>
      </c>
      <c r="N59" s="33"/>
      <c r="O59" s="3"/>
      <c r="P59" s="3">
        <v>1</v>
      </c>
      <c r="Q59" s="3"/>
      <c r="R59" s="3"/>
      <c r="S59" s="3"/>
    </row>
    <row r="60" spans="1:19" ht="25" customHeight="1" x14ac:dyDescent="0.3">
      <c r="A60" s="3">
        <v>51</v>
      </c>
      <c r="B60" s="3" t="s">
        <v>593</v>
      </c>
      <c r="C60" s="3" t="s">
        <v>594</v>
      </c>
      <c r="D60" s="3" t="s">
        <v>595</v>
      </c>
      <c r="E60" s="3">
        <v>24</v>
      </c>
      <c r="F60" s="3" t="s">
        <v>23</v>
      </c>
      <c r="G60" s="3" t="s">
        <v>36</v>
      </c>
      <c r="H60" s="3"/>
      <c r="I60" s="3"/>
      <c r="J60" s="25" t="s">
        <v>453</v>
      </c>
      <c r="K60" s="3" t="s">
        <v>30</v>
      </c>
      <c r="L60" s="3">
        <v>65529245</v>
      </c>
      <c r="M60" s="20">
        <v>200</v>
      </c>
      <c r="N60" s="33"/>
      <c r="O60" s="3"/>
      <c r="P60" s="3"/>
      <c r="Q60" s="3">
        <v>1</v>
      </c>
      <c r="R60" s="3"/>
      <c r="S60" s="3"/>
    </row>
    <row r="61" spans="1:19" ht="25" customHeight="1" x14ac:dyDescent="0.3">
      <c r="A61" s="3">
        <v>52</v>
      </c>
      <c r="B61" s="3" t="s">
        <v>582</v>
      </c>
      <c r="C61" s="3" t="s">
        <v>583</v>
      </c>
      <c r="D61" s="3" t="s">
        <v>584</v>
      </c>
      <c r="E61" s="3">
        <v>34</v>
      </c>
      <c r="F61" s="3" t="s">
        <v>23</v>
      </c>
      <c r="G61" s="3" t="s">
        <v>24</v>
      </c>
      <c r="H61" s="3"/>
      <c r="I61" s="3"/>
      <c r="J61" s="25" t="s">
        <v>585</v>
      </c>
      <c r="K61" s="3" t="s">
        <v>447</v>
      </c>
      <c r="L61" s="3"/>
      <c r="M61" s="20">
        <v>200</v>
      </c>
      <c r="N61" s="33"/>
      <c r="O61" s="3"/>
      <c r="P61" s="3">
        <v>1</v>
      </c>
      <c r="Q61" s="3"/>
      <c r="R61" s="3"/>
      <c r="S61" s="3"/>
    </row>
    <row r="62" spans="1:19" ht="25" customHeight="1" x14ac:dyDescent="0.3">
      <c r="A62" s="3">
        <v>53</v>
      </c>
      <c r="B62" s="3" t="s">
        <v>598</v>
      </c>
      <c r="C62" s="3" t="s">
        <v>599</v>
      </c>
      <c r="D62" s="3" t="s">
        <v>600</v>
      </c>
      <c r="E62" s="3">
        <v>25</v>
      </c>
      <c r="F62" s="3" t="s">
        <v>23</v>
      </c>
      <c r="G62" s="3" t="s">
        <v>24</v>
      </c>
      <c r="H62" s="3"/>
      <c r="I62" s="3"/>
      <c r="J62" s="25" t="s">
        <v>601</v>
      </c>
      <c r="K62" s="3" t="s">
        <v>447</v>
      </c>
      <c r="L62" s="3" t="s">
        <v>602</v>
      </c>
      <c r="M62" s="20">
        <v>200</v>
      </c>
      <c r="N62" s="34"/>
      <c r="O62" s="3"/>
      <c r="P62" s="3">
        <v>1</v>
      </c>
      <c r="Q62" s="3"/>
      <c r="R62" s="3"/>
      <c r="S62" s="3"/>
    </row>
    <row r="63" spans="1:19" ht="25" customHeight="1" x14ac:dyDescent="0.3">
      <c r="A63" s="3">
        <v>54</v>
      </c>
      <c r="B63" s="3" t="s">
        <v>603</v>
      </c>
      <c r="C63" s="3" t="s">
        <v>126</v>
      </c>
      <c r="D63" s="3" t="s">
        <v>195</v>
      </c>
      <c r="E63" s="3">
        <v>27</v>
      </c>
      <c r="F63" s="3" t="s">
        <v>23</v>
      </c>
      <c r="G63" s="3" t="s">
        <v>24</v>
      </c>
      <c r="H63" s="3"/>
      <c r="I63" s="3"/>
      <c r="J63" s="25" t="s">
        <v>601</v>
      </c>
      <c r="K63" s="3" t="s">
        <v>447</v>
      </c>
      <c r="L63" s="3" t="s">
        <v>602</v>
      </c>
      <c r="M63" s="20">
        <v>200</v>
      </c>
      <c r="N63" s="34"/>
      <c r="O63" s="3"/>
      <c r="P63" s="3">
        <v>1</v>
      </c>
      <c r="Q63" s="3"/>
      <c r="R63" s="3"/>
      <c r="S63" s="3"/>
    </row>
    <row r="64" spans="1:19" ht="25" customHeight="1" x14ac:dyDescent="0.3">
      <c r="A64" s="3">
        <v>55</v>
      </c>
      <c r="B64" s="3" t="s">
        <v>609</v>
      </c>
      <c r="C64" s="3" t="s">
        <v>610</v>
      </c>
      <c r="D64" s="3" t="s">
        <v>21</v>
      </c>
      <c r="E64" s="3">
        <v>34</v>
      </c>
      <c r="F64" s="3" t="s">
        <v>23</v>
      </c>
      <c r="G64" s="3" t="s">
        <v>24</v>
      </c>
      <c r="H64" s="3"/>
      <c r="I64" s="3"/>
      <c r="J64" s="25" t="s">
        <v>611</v>
      </c>
      <c r="K64" s="3" t="s">
        <v>447</v>
      </c>
      <c r="L64" s="3" t="s">
        <v>612</v>
      </c>
      <c r="M64" s="20">
        <v>200</v>
      </c>
      <c r="N64" s="34"/>
      <c r="O64" s="3"/>
      <c r="P64" s="3">
        <v>1</v>
      </c>
      <c r="Q64" s="3"/>
      <c r="R64" s="3"/>
      <c r="S64" s="3"/>
    </row>
    <row r="65" spans="1:19" ht="25" customHeight="1" x14ac:dyDescent="0.3">
      <c r="A65" s="3">
        <v>56</v>
      </c>
      <c r="B65" s="3" t="s">
        <v>613</v>
      </c>
      <c r="C65" s="3" t="s">
        <v>614</v>
      </c>
      <c r="D65" s="3" t="s">
        <v>615</v>
      </c>
      <c r="E65" s="3">
        <v>24</v>
      </c>
      <c r="F65" s="3" t="s">
        <v>23</v>
      </c>
      <c r="G65" s="3" t="s">
        <v>24</v>
      </c>
      <c r="H65" s="3"/>
      <c r="I65" s="3"/>
      <c r="J65" s="25" t="s">
        <v>611</v>
      </c>
      <c r="K65" s="3" t="s">
        <v>48</v>
      </c>
      <c r="L65" s="3">
        <v>180348360037</v>
      </c>
      <c r="M65" s="20">
        <v>200</v>
      </c>
      <c r="N65" s="34"/>
      <c r="O65" s="3"/>
      <c r="P65" s="3">
        <v>1</v>
      </c>
      <c r="Q65" s="3"/>
      <c r="R65" s="3"/>
      <c r="S65" s="3"/>
    </row>
    <row r="66" spans="1:19" ht="25" customHeight="1" x14ac:dyDescent="0.3">
      <c r="A66" s="3">
        <v>57</v>
      </c>
      <c r="B66" s="3" t="s">
        <v>618</v>
      </c>
      <c r="C66" s="3" t="s">
        <v>619</v>
      </c>
      <c r="D66" s="3" t="s">
        <v>227</v>
      </c>
      <c r="E66" s="3">
        <v>23</v>
      </c>
      <c r="F66" s="3" t="s">
        <v>23</v>
      </c>
      <c r="G66" s="3" t="s">
        <v>24</v>
      </c>
      <c r="H66" s="3"/>
      <c r="I66" s="3"/>
      <c r="J66" s="25" t="s">
        <v>620</v>
      </c>
      <c r="K66" s="3" t="s">
        <v>30</v>
      </c>
      <c r="L66" s="3">
        <v>22982787</v>
      </c>
      <c r="M66" s="20">
        <v>200</v>
      </c>
      <c r="N66" s="34"/>
      <c r="O66" s="3"/>
      <c r="P66" s="3">
        <v>1</v>
      </c>
      <c r="Q66" s="3"/>
      <c r="R66" s="3"/>
      <c r="S66" s="3"/>
    </row>
    <row r="67" spans="1:19" ht="25" customHeight="1" x14ac:dyDescent="0.3">
      <c r="A67" s="3">
        <v>58</v>
      </c>
      <c r="B67" s="3" t="s">
        <v>621</v>
      </c>
      <c r="C67" s="3" t="s">
        <v>92</v>
      </c>
      <c r="D67" s="3" t="s">
        <v>111</v>
      </c>
      <c r="E67" s="3">
        <v>25</v>
      </c>
      <c r="F67" s="3" t="s">
        <v>23</v>
      </c>
      <c r="G67" s="3" t="s">
        <v>24</v>
      </c>
      <c r="H67" s="3"/>
      <c r="I67" s="3"/>
      <c r="J67" s="25" t="s">
        <v>620</v>
      </c>
      <c r="K67" s="3" t="s">
        <v>30</v>
      </c>
      <c r="L67" s="3">
        <v>49710292</v>
      </c>
      <c r="M67" s="20">
        <v>200</v>
      </c>
      <c r="N67" s="34"/>
      <c r="O67" s="3"/>
      <c r="P67" s="3">
        <v>1</v>
      </c>
      <c r="Q67" s="3"/>
      <c r="R67" s="3"/>
      <c r="S67" s="3"/>
    </row>
    <row r="68" spans="1:19" ht="25" customHeight="1" x14ac:dyDescent="0.3">
      <c r="A68" s="3">
        <v>59</v>
      </c>
      <c r="B68" s="3" t="s">
        <v>604</v>
      </c>
      <c r="C68" s="3" t="s">
        <v>186</v>
      </c>
      <c r="D68" s="3" t="s">
        <v>327</v>
      </c>
      <c r="E68" s="3">
        <v>28</v>
      </c>
      <c r="F68" s="3" t="s">
        <v>23</v>
      </c>
      <c r="G68" s="3" t="s">
        <v>24</v>
      </c>
      <c r="H68" s="3"/>
      <c r="I68" s="3"/>
      <c r="J68" s="25" t="s">
        <v>632</v>
      </c>
      <c r="K68" s="3" t="s">
        <v>30</v>
      </c>
      <c r="L68" s="3">
        <v>52976091</v>
      </c>
      <c r="M68" s="20">
        <v>200</v>
      </c>
      <c r="N68" s="34"/>
      <c r="O68" s="3"/>
      <c r="P68" s="3">
        <v>1</v>
      </c>
      <c r="Q68" s="3"/>
      <c r="R68" s="3"/>
      <c r="S68" s="3"/>
    </row>
    <row r="69" spans="1:19" ht="25" customHeight="1" x14ac:dyDescent="0.3">
      <c r="A69" s="3">
        <v>60</v>
      </c>
      <c r="B69" s="3" t="s">
        <v>649</v>
      </c>
      <c r="C69" s="3" t="s">
        <v>650</v>
      </c>
      <c r="D69" s="3" t="s">
        <v>651</v>
      </c>
      <c r="E69" s="3">
        <v>27</v>
      </c>
      <c r="F69" s="3" t="s">
        <v>23</v>
      </c>
      <c r="G69" s="3" t="s">
        <v>29</v>
      </c>
      <c r="H69" s="3"/>
      <c r="I69" s="3"/>
      <c r="J69" s="25" t="s">
        <v>691</v>
      </c>
      <c r="K69" s="3"/>
      <c r="L69" s="3"/>
      <c r="M69" s="20">
        <v>200</v>
      </c>
      <c r="N69" s="34"/>
      <c r="O69" s="3">
        <v>1</v>
      </c>
      <c r="P69" s="3"/>
      <c r="Q69" s="3"/>
      <c r="R69" s="3"/>
      <c r="S69" s="3"/>
    </row>
    <row r="70" spans="1:19" ht="25" customHeight="1" x14ac:dyDescent="0.3">
      <c r="A70" s="3">
        <v>61</v>
      </c>
      <c r="B70" s="3" t="s">
        <v>652</v>
      </c>
      <c r="C70" s="3" t="s">
        <v>653</v>
      </c>
      <c r="D70" s="3" t="s">
        <v>654</v>
      </c>
      <c r="E70" s="3">
        <v>30</v>
      </c>
      <c r="F70" s="3" t="s">
        <v>23</v>
      </c>
      <c r="G70" s="3" t="s">
        <v>24</v>
      </c>
      <c r="H70" s="3"/>
      <c r="I70" s="3"/>
      <c r="J70" s="25"/>
      <c r="K70" s="3"/>
      <c r="L70" s="3"/>
      <c r="M70" s="20">
        <v>200</v>
      </c>
      <c r="N70" s="34"/>
      <c r="O70" s="3"/>
      <c r="P70" s="3">
        <v>1</v>
      </c>
      <c r="Q70" s="3"/>
      <c r="R70" s="3"/>
      <c r="S70" s="3"/>
    </row>
    <row r="71" spans="1:19" ht="25" customHeight="1" x14ac:dyDescent="0.3">
      <c r="A71" s="3">
        <v>62</v>
      </c>
      <c r="B71" s="3" t="s">
        <v>655</v>
      </c>
      <c r="C71" s="3" t="s">
        <v>656</v>
      </c>
      <c r="D71" s="3" t="s">
        <v>657</v>
      </c>
      <c r="E71" s="3">
        <v>31</v>
      </c>
      <c r="F71" s="3" t="s">
        <v>23</v>
      </c>
      <c r="G71" s="3" t="s">
        <v>29</v>
      </c>
      <c r="H71" s="3"/>
      <c r="I71" s="3"/>
      <c r="J71" s="25"/>
      <c r="K71" s="3"/>
      <c r="L71" s="3"/>
      <c r="M71" s="20">
        <v>200</v>
      </c>
      <c r="N71" s="34"/>
      <c r="O71" s="3">
        <v>1</v>
      </c>
      <c r="P71" s="3"/>
      <c r="Q71" s="3"/>
      <c r="R71" s="3"/>
      <c r="S71" s="3"/>
    </row>
    <row r="72" spans="1:19" ht="25" customHeight="1" x14ac:dyDescent="0.3">
      <c r="A72" s="3">
        <v>63</v>
      </c>
      <c r="B72" s="3" t="s">
        <v>658</v>
      </c>
      <c r="C72" s="3" t="s">
        <v>659</v>
      </c>
      <c r="D72" s="3" t="s">
        <v>88</v>
      </c>
      <c r="E72" s="3">
        <v>27</v>
      </c>
      <c r="F72" s="3" t="s">
        <v>23</v>
      </c>
      <c r="G72" s="3" t="s">
        <v>24</v>
      </c>
      <c r="H72" s="3"/>
      <c r="I72" s="3"/>
      <c r="J72" s="25" t="s">
        <v>692</v>
      </c>
      <c r="K72" s="3"/>
      <c r="L72" s="3"/>
      <c r="M72" s="20">
        <v>200</v>
      </c>
      <c r="N72" s="34"/>
      <c r="O72" s="3"/>
      <c r="P72" s="3">
        <v>1</v>
      </c>
      <c r="Q72" s="3"/>
      <c r="R72" s="3"/>
      <c r="S72" s="3"/>
    </row>
    <row r="73" spans="1:19" ht="25" customHeight="1" x14ac:dyDescent="0.3">
      <c r="A73" s="3">
        <v>64</v>
      </c>
      <c r="B73" s="3" t="s">
        <v>660</v>
      </c>
      <c r="C73" s="3" t="s">
        <v>661</v>
      </c>
      <c r="D73" s="3" t="s">
        <v>662</v>
      </c>
      <c r="E73" s="3">
        <v>26</v>
      </c>
      <c r="F73" s="3" t="s">
        <v>23</v>
      </c>
      <c r="G73" s="3" t="s">
        <v>24</v>
      </c>
      <c r="H73" s="3"/>
      <c r="I73" s="3"/>
      <c r="J73" s="25" t="s">
        <v>693</v>
      </c>
      <c r="K73" s="3"/>
      <c r="L73" s="3"/>
      <c r="M73" s="20">
        <v>200</v>
      </c>
      <c r="N73" s="34"/>
      <c r="O73" s="3"/>
      <c r="P73" s="3">
        <v>1</v>
      </c>
      <c r="Q73" s="3"/>
      <c r="R73" s="3"/>
      <c r="S73" s="3"/>
    </row>
    <row r="74" spans="1:19" ht="25" customHeight="1" x14ac:dyDescent="0.3">
      <c r="A74" s="3">
        <v>65</v>
      </c>
      <c r="B74" s="3" t="s">
        <v>663</v>
      </c>
      <c r="C74" s="3" t="s">
        <v>664</v>
      </c>
      <c r="D74" s="3" t="s">
        <v>665</v>
      </c>
      <c r="E74" s="3">
        <v>33</v>
      </c>
      <c r="F74" s="3" t="s">
        <v>23</v>
      </c>
      <c r="G74" s="3" t="s">
        <v>65</v>
      </c>
      <c r="H74" s="3"/>
      <c r="I74" s="3"/>
      <c r="J74" s="25" t="s">
        <v>694</v>
      </c>
      <c r="K74" s="3"/>
      <c r="L74" s="3"/>
      <c r="M74" s="20">
        <v>200</v>
      </c>
      <c r="N74" s="34"/>
      <c r="O74" s="3"/>
      <c r="P74" s="3"/>
      <c r="Q74" s="3"/>
      <c r="R74" s="3"/>
      <c r="S74" s="3">
        <v>1</v>
      </c>
    </row>
    <row r="75" spans="1:19" ht="25" customHeight="1" x14ac:dyDescent="0.3">
      <c r="A75" s="3">
        <v>66</v>
      </c>
      <c r="B75" s="3" t="s">
        <v>666</v>
      </c>
      <c r="C75" s="3" t="s">
        <v>667</v>
      </c>
      <c r="D75" s="3" t="s">
        <v>668</v>
      </c>
      <c r="E75" s="3">
        <v>29</v>
      </c>
      <c r="F75" s="3" t="s">
        <v>23</v>
      </c>
      <c r="G75" s="3" t="s">
        <v>64</v>
      </c>
      <c r="H75" s="3"/>
      <c r="I75" s="3"/>
      <c r="J75" s="25" t="s">
        <v>695</v>
      </c>
      <c r="K75" s="3"/>
      <c r="L75" s="3"/>
      <c r="M75" s="20">
        <v>200</v>
      </c>
      <c r="N75" s="34"/>
      <c r="O75" s="3"/>
      <c r="P75" s="3"/>
      <c r="Q75" s="3"/>
      <c r="R75" s="3">
        <v>1</v>
      </c>
      <c r="S75" s="3"/>
    </row>
    <row r="76" spans="1:19" ht="25" customHeight="1" x14ac:dyDescent="0.3">
      <c r="A76" s="3">
        <v>67</v>
      </c>
      <c r="B76" s="3" t="s">
        <v>669</v>
      </c>
      <c r="C76" s="3" t="s">
        <v>670</v>
      </c>
      <c r="D76" s="3" t="s">
        <v>671</v>
      </c>
      <c r="E76" s="3">
        <v>31</v>
      </c>
      <c r="F76" s="3" t="s">
        <v>23</v>
      </c>
      <c r="G76" s="3" t="s">
        <v>29</v>
      </c>
      <c r="H76" s="3"/>
      <c r="I76" s="3"/>
      <c r="J76" s="25" t="s">
        <v>695</v>
      </c>
      <c r="K76" s="3"/>
      <c r="L76" s="3"/>
      <c r="M76" s="20">
        <v>200</v>
      </c>
      <c r="N76" s="34"/>
      <c r="O76" s="3">
        <v>1</v>
      </c>
      <c r="P76" s="3"/>
      <c r="Q76" s="3"/>
      <c r="R76" s="3"/>
      <c r="S76" s="3"/>
    </row>
    <row r="77" spans="1:19" ht="25" customHeight="1" x14ac:dyDescent="0.3">
      <c r="A77" s="3">
        <v>68</v>
      </c>
      <c r="B77" s="3" t="s">
        <v>672</v>
      </c>
      <c r="C77" s="3" t="s">
        <v>673</v>
      </c>
      <c r="D77" s="3" t="s">
        <v>674</v>
      </c>
      <c r="E77" s="3">
        <v>27</v>
      </c>
      <c r="F77" s="3" t="s">
        <v>23</v>
      </c>
      <c r="G77" s="3" t="s">
        <v>29</v>
      </c>
      <c r="H77" s="3"/>
      <c r="I77" s="3"/>
      <c r="J77" s="25" t="s">
        <v>696</v>
      </c>
      <c r="K77" s="3"/>
      <c r="L77" s="3"/>
      <c r="M77" s="20">
        <v>200</v>
      </c>
      <c r="N77" s="34"/>
      <c r="O77" s="3">
        <v>1</v>
      </c>
      <c r="P77" s="3"/>
      <c r="Q77" s="3"/>
      <c r="R77" s="3"/>
      <c r="S77" s="3"/>
    </row>
    <row r="78" spans="1:19" ht="25" customHeight="1" x14ac:dyDescent="0.3">
      <c r="A78" s="3">
        <v>69</v>
      </c>
      <c r="B78" s="3" t="s">
        <v>675</v>
      </c>
      <c r="C78" s="3" t="s">
        <v>86</v>
      </c>
      <c r="D78" s="3" t="s">
        <v>592</v>
      </c>
      <c r="E78" s="3">
        <v>23</v>
      </c>
      <c r="F78" s="3" t="s">
        <v>23</v>
      </c>
      <c r="G78" s="3" t="s">
        <v>24</v>
      </c>
      <c r="H78" s="3"/>
      <c r="I78" s="3"/>
      <c r="J78" s="25" t="s">
        <v>696</v>
      </c>
      <c r="K78" s="3"/>
      <c r="L78" s="3"/>
      <c r="M78" s="20">
        <v>200</v>
      </c>
      <c r="N78" s="34"/>
      <c r="O78" s="3"/>
      <c r="P78" s="3">
        <v>1</v>
      </c>
      <c r="Q78" s="3"/>
      <c r="R78" s="3"/>
      <c r="S78" s="3"/>
    </row>
    <row r="79" spans="1:19" ht="25" customHeight="1" x14ac:dyDescent="0.3">
      <c r="A79" s="3">
        <v>70</v>
      </c>
      <c r="B79" s="3" t="s">
        <v>676</v>
      </c>
      <c r="C79" s="3" t="s">
        <v>433</v>
      </c>
      <c r="D79" s="3" t="s">
        <v>91</v>
      </c>
      <c r="E79" s="3">
        <v>34</v>
      </c>
      <c r="F79" s="3" t="s">
        <v>23</v>
      </c>
      <c r="G79" s="3" t="s">
        <v>64</v>
      </c>
      <c r="H79" s="3"/>
      <c r="I79" s="3"/>
      <c r="J79" s="25" t="s">
        <v>696</v>
      </c>
      <c r="K79" s="3"/>
      <c r="L79" s="3"/>
      <c r="M79" s="20">
        <v>200</v>
      </c>
      <c r="N79" s="34"/>
      <c r="O79" s="3"/>
      <c r="P79" s="3"/>
      <c r="Q79" s="3"/>
      <c r="R79" s="3">
        <v>1</v>
      </c>
      <c r="S79" s="3"/>
    </row>
    <row r="80" spans="1:19" ht="25" customHeight="1" x14ac:dyDescent="0.3">
      <c r="A80" s="3">
        <v>71</v>
      </c>
      <c r="B80" s="3" t="s">
        <v>677</v>
      </c>
      <c r="C80" s="3" t="s">
        <v>678</v>
      </c>
      <c r="D80" s="3" t="s">
        <v>375</v>
      </c>
      <c r="E80" s="3">
        <v>30</v>
      </c>
      <c r="F80" s="3" t="s">
        <v>23</v>
      </c>
      <c r="G80" s="3" t="s">
        <v>24</v>
      </c>
      <c r="H80" s="3"/>
      <c r="I80" s="3"/>
      <c r="J80" s="25" t="s">
        <v>696</v>
      </c>
      <c r="K80" s="3"/>
      <c r="L80" s="3"/>
      <c r="M80" s="20">
        <v>200</v>
      </c>
      <c r="N80" s="34"/>
      <c r="O80" s="3"/>
      <c r="P80" s="3">
        <v>1</v>
      </c>
      <c r="Q80" s="3"/>
      <c r="R80" s="3"/>
      <c r="S80" s="3"/>
    </row>
    <row r="81" spans="1:23" ht="25" customHeight="1" x14ac:dyDescent="0.3">
      <c r="A81" s="3">
        <v>72</v>
      </c>
      <c r="B81" s="3" t="s">
        <v>679</v>
      </c>
      <c r="C81" s="3" t="s">
        <v>106</v>
      </c>
      <c r="D81" s="3" t="s">
        <v>131</v>
      </c>
      <c r="E81" s="3">
        <v>26</v>
      </c>
      <c r="F81" s="3" t="s">
        <v>23</v>
      </c>
      <c r="G81" s="3" t="s">
        <v>24</v>
      </c>
      <c r="H81" s="3"/>
      <c r="I81" s="3"/>
      <c r="J81" s="25" t="s">
        <v>696</v>
      </c>
      <c r="K81" s="3"/>
      <c r="L81" s="3"/>
      <c r="M81" s="20">
        <v>200</v>
      </c>
      <c r="N81" s="34"/>
      <c r="O81" s="3"/>
      <c r="P81" s="3">
        <v>1</v>
      </c>
      <c r="Q81" s="3"/>
      <c r="R81" s="3"/>
      <c r="S81" s="3"/>
    </row>
    <row r="82" spans="1:23" ht="25" customHeight="1" x14ac:dyDescent="0.3">
      <c r="A82" s="3">
        <v>73</v>
      </c>
      <c r="B82" s="3" t="s">
        <v>680</v>
      </c>
      <c r="C82" s="3" t="s">
        <v>681</v>
      </c>
      <c r="D82" s="3" t="s">
        <v>88</v>
      </c>
      <c r="E82" s="3">
        <v>27</v>
      </c>
      <c r="F82" s="3" t="s">
        <v>23</v>
      </c>
      <c r="G82" s="3" t="s">
        <v>24</v>
      </c>
      <c r="H82" s="3"/>
      <c r="I82" s="3"/>
      <c r="J82" s="25" t="s">
        <v>696</v>
      </c>
      <c r="K82" s="3"/>
      <c r="L82" s="3"/>
      <c r="M82" s="20">
        <v>200</v>
      </c>
      <c r="N82" s="34"/>
      <c r="O82" s="3"/>
      <c r="P82" s="3">
        <v>1</v>
      </c>
      <c r="Q82" s="3"/>
      <c r="R82" s="3"/>
      <c r="S82" s="3"/>
    </row>
    <row r="83" spans="1:23" ht="25" customHeight="1" x14ac:dyDescent="0.3">
      <c r="A83" s="3">
        <v>74</v>
      </c>
      <c r="B83" s="3" t="s">
        <v>682</v>
      </c>
      <c r="C83" s="3" t="s">
        <v>678</v>
      </c>
      <c r="D83" s="3" t="s">
        <v>375</v>
      </c>
      <c r="E83" s="3">
        <v>33</v>
      </c>
      <c r="F83" s="3" t="s">
        <v>23</v>
      </c>
      <c r="G83" s="3" t="s">
        <v>24</v>
      </c>
      <c r="H83" s="3"/>
      <c r="I83" s="3"/>
      <c r="J83" s="25" t="s">
        <v>696</v>
      </c>
      <c r="K83" s="3"/>
      <c r="L83" s="3"/>
      <c r="M83" s="20">
        <v>200</v>
      </c>
      <c r="N83" s="34"/>
      <c r="O83" s="3"/>
      <c r="P83" s="3">
        <v>1</v>
      </c>
      <c r="Q83" s="3"/>
      <c r="R83" s="3"/>
      <c r="S83" s="3"/>
    </row>
    <row r="84" spans="1:23" ht="25" customHeight="1" x14ac:dyDescent="0.3">
      <c r="A84" s="3">
        <v>75</v>
      </c>
      <c r="B84" s="3" t="s">
        <v>683</v>
      </c>
      <c r="C84" s="3" t="s">
        <v>684</v>
      </c>
      <c r="D84" s="3" t="s">
        <v>143</v>
      </c>
      <c r="E84" s="3">
        <v>24</v>
      </c>
      <c r="F84" s="3" t="s">
        <v>23</v>
      </c>
      <c r="G84" s="3" t="s">
        <v>29</v>
      </c>
      <c r="H84" s="3"/>
      <c r="I84" s="3"/>
      <c r="J84" s="25" t="s">
        <v>696</v>
      </c>
      <c r="K84" s="3"/>
      <c r="L84" s="3"/>
      <c r="M84" s="20">
        <v>200</v>
      </c>
      <c r="N84" s="34"/>
      <c r="O84" s="3">
        <v>1</v>
      </c>
      <c r="P84" s="3"/>
      <c r="Q84" s="3"/>
      <c r="R84" s="3"/>
      <c r="S84" s="3"/>
    </row>
    <row r="85" spans="1:23" ht="25" customHeight="1" x14ac:dyDescent="0.3">
      <c r="A85" s="3">
        <v>76</v>
      </c>
      <c r="B85" s="3" t="s">
        <v>609</v>
      </c>
      <c r="C85" s="3" t="s">
        <v>685</v>
      </c>
      <c r="D85" s="3" t="s">
        <v>21</v>
      </c>
      <c r="E85" s="3">
        <v>27</v>
      </c>
      <c r="F85" s="3" t="s">
        <v>23</v>
      </c>
      <c r="G85" s="3" t="s">
        <v>36</v>
      </c>
      <c r="H85" s="3"/>
      <c r="I85" s="3"/>
      <c r="J85" s="25" t="s">
        <v>696</v>
      </c>
      <c r="K85" s="3"/>
      <c r="L85" s="3"/>
      <c r="M85" s="20">
        <v>200</v>
      </c>
      <c r="N85" s="34"/>
      <c r="O85" s="3"/>
      <c r="P85" s="3"/>
      <c r="Q85" s="3">
        <v>1</v>
      </c>
      <c r="R85" s="3"/>
      <c r="S85" s="3"/>
    </row>
    <row r="86" spans="1:23" ht="25" customHeight="1" x14ac:dyDescent="0.3">
      <c r="A86" s="3">
        <v>77</v>
      </c>
      <c r="B86" s="3" t="s">
        <v>686</v>
      </c>
      <c r="C86" s="3" t="s">
        <v>687</v>
      </c>
      <c r="D86" s="3" t="s">
        <v>91</v>
      </c>
      <c r="E86" s="3">
        <v>25</v>
      </c>
      <c r="F86" s="3" t="s">
        <v>23</v>
      </c>
      <c r="G86" s="3" t="s">
        <v>24</v>
      </c>
      <c r="H86" s="3"/>
      <c r="I86" s="3"/>
      <c r="J86" s="25" t="s">
        <v>697</v>
      </c>
      <c r="K86" s="3"/>
      <c r="L86" s="3"/>
      <c r="M86" s="20">
        <v>200</v>
      </c>
      <c r="N86" s="34"/>
      <c r="O86" s="3"/>
      <c r="P86" s="3">
        <v>1</v>
      </c>
      <c r="Q86" s="3"/>
      <c r="R86" s="3"/>
      <c r="S86" s="3"/>
    </row>
    <row r="87" spans="1:23" ht="25" customHeight="1" x14ac:dyDescent="0.3">
      <c r="A87" s="3">
        <v>78</v>
      </c>
      <c r="B87" s="3" t="s">
        <v>688</v>
      </c>
      <c r="C87" s="3" t="s">
        <v>689</v>
      </c>
      <c r="D87" s="3" t="s">
        <v>690</v>
      </c>
      <c r="E87" s="3">
        <v>35</v>
      </c>
      <c r="F87" s="3" t="s">
        <v>23</v>
      </c>
      <c r="G87" s="3" t="s">
        <v>36</v>
      </c>
      <c r="H87" s="3"/>
      <c r="I87" s="3"/>
      <c r="J87" s="25" t="s">
        <v>697</v>
      </c>
      <c r="K87" s="3"/>
      <c r="L87" s="3"/>
      <c r="M87" s="20">
        <v>200</v>
      </c>
      <c r="N87" s="34"/>
      <c r="O87" s="3"/>
      <c r="P87" s="3"/>
      <c r="Q87" s="3">
        <v>1</v>
      </c>
      <c r="R87" s="3"/>
      <c r="S87" s="3"/>
    </row>
    <row r="88" spans="1:23" ht="25" customHeight="1" x14ac:dyDescent="0.3">
      <c r="A88" s="3">
        <v>79</v>
      </c>
      <c r="B88" s="3" t="s">
        <v>794</v>
      </c>
      <c r="C88" s="3" t="s">
        <v>433</v>
      </c>
      <c r="D88" s="3" t="s">
        <v>795</v>
      </c>
      <c r="E88" s="3">
        <v>25</v>
      </c>
      <c r="F88" s="3" t="s">
        <v>23</v>
      </c>
      <c r="G88" s="3" t="s">
        <v>36</v>
      </c>
      <c r="H88" s="3"/>
      <c r="I88" s="3"/>
      <c r="J88" s="25" t="s">
        <v>796</v>
      </c>
      <c r="K88" s="3"/>
      <c r="L88" s="3"/>
      <c r="M88" s="20">
        <v>200</v>
      </c>
      <c r="N88" s="34"/>
      <c r="O88" s="3"/>
      <c r="P88" s="3"/>
      <c r="Q88" s="3">
        <v>1</v>
      </c>
      <c r="R88" s="3"/>
      <c r="S88" s="3"/>
    </row>
    <row r="89" spans="1:23" ht="25" customHeight="1" x14ac:dyDescent="0.3">
      <c r="A89" s="3">
        <v>80</v>
      </c>
      <c r="B89" s="3" t="s">
        <v>803</v>
      </c>
      <c r="C89" s="3" t="s">
        <v>804</v>
      </c>
      <c r="D89" s="3" t="s">
        <v>775</v>
      </c>
      <c r="E89" s="3">
        <v>24</v>
      </c>
      <c r="F89" s="3" t="s">
        <v>23</v>
      </c>
      <c r="G89" s="3" t="s">
        <v>29</v>
      </c>
      <c r="H89" s="3"/>
      <c r="I89" s="3"/>
      <c r="J89" s="25" t="s">
        <v>805</v>
      </c>
      <c r="K89" s="3"/>
      <c r="L89" s="3"/>
      <c r="M89" s="20">
        <v>200</v>
      </c>
      <c r="N89" s="34"/>
      <c r="O89" s="3">
        <v>1</v>
      </c>
      <c r="P89" s="3"/>
      <c r="Q89" s="3"/>
      <c r="R89" s="3"/>
      <c r="S89" s="3"/>
    </row>
    <row r="90" spans="1:23" ht="25" customHeight="1" x14ac:dyDescent="0.3">
      <c r="A90" s="3">
        <v>81</v>
      </c>
      <c r="B90" s="3" t="s">
        <v>807</v>
      </c>
      <c r="C90" s="3" t="s">
        <v>808</v>
      </c>
      <c r="D90" s="3" t="s">
        <v>96</v>
      </c>
      <c r="E90" s="3">
        <v>28</v>
      </c>
      <c r="F90" s="3" t="s">
        <v>23</v>
      </c>
      <c r="G90" s="3" t="s">
        <v>29</v>
      </c>
      <c r="H90" s="3"/>
      <c r="I90" s="3"/>
      <c r="J90" s="25" t="s">
        <v>809</v>
      </c>
      <c r="K90" s="3"/>
      <c r="L90" s="3"/>
      <c r="M90" s="20">
        <v>200</v>
      </c>
      <c r="N90" s="33"/>
      <c r="O90" s="3">
        <v>1</v>
      </c>
      <c r="P90" s="3"/>
      <c r="Q90" s="3"/>
      <c r="R90" s="3"/>
      <c r="S90" s="3"/>
    </row>
    <row r="91" spans="1:23" ht="25" customHeight="1" x14ac:dyDescent="0.3">
      <c r="A91" s="3">
        <v>82</v>
      </c>
      <c r="B91" s="3" t="s">
        <v>772</v>
      </c>
      <c r="C91" s="3" t="s">
        <v>499</v>
      </c>
      <c r="D91" s="3" t="s">
        <v>773</v>
      </c>
      <c r="E91" s="3">
        <v>25</v>
      </c>
      <c r="F91" s="3" t="s">
        <v>23</v>
      </c>
      <c r="G91" s="3" t="s">
        <v>29</v>
      </c>
      <c r="H91" s="3"/>
      <c r="I91" s="3"/>
      <c r="J91" s="25" t="s">
        <v>777</v>
      </c>
      <c r="K91" s="3"/>
      <c r="L91" s="3"/>
      <c r="M91" s="20">
        <v>200</v>
      </c>
      <c r="N91" s="34"/>
      <c r="O91" s="3">
        <v>1</v>
      </c>
      <c r="P91" s="3"/>
      <c r="Q91" s="3"/>
      <c r="R91" s="3"/>
      <c r="S91" s="3"/>
    </row>
    <row r="92" spans="1:23" ht="25" customHeight="1" x14ac:dyDescent="0.3">
      <c r="A92" s="3">
        <v>83</v>
      </c>
      <c r="B92" s="3" t="s">
        <v>774</v>
      </c>
      <c r="C92" s="3" t="s">
        <v>339</v>
      </c>
      <c r="D92" s="3" t="s">
        <v>775</v>
      </c>
      <c r="E92" s="3">
        <v>24</v>
      </c>
      <c r="F92" s="3" t="s">
        <v>23</v>
      </c>
      <c r="G92" s="3" t="s">
        <v>24</v>
      </c>
      <c r="H92" s="3"/>
      <c r="I92" s="3"/>
      <c r="J92" s="25" t="s">
        <v>695</v>
      </c>
      <c r="K92" s="3"/>
      <c r="L92" s="3"/>
      <c r="M92" s="20">
        <v>200</v>
      </c>
      <c r="N92" s="34"/>
      <c r="O92" s="3"/>
      <c r="P92" s="3">
        <v>1</v>
      </c>
      <c r="Q92" s="3"/>
      <c r="R92" s="3"/>
      <c r="S92" s="3"/>
    </row>
    <row r="93" spans="1:23" ht="25" customHeight="1" x14ac:dyDescent="0.3">
      <c r="A93" s="3">
        <v>84</v>
      </c>
      <c r="B93" s="3" t="s">
        <v>776</v>
      </c>
      <c r="C93" s="3" t="s">
        <v>711</v>
      </c>
      <c r="D93" s="3" t="s">
        <v>106</v>
      </c>
      <c r="E93" s="3">
        <v>24</v>
      </c>
      <c r="F93" s="3" t="s">
        <v>23</v>
      </c>
      <c r="G93" s="3" t="s">
        <v>24</v>
      </c>
      <c r="H93" s="3"/>
      <c r="I93" s="3"/>
      <c r="J93" s="25" t="s">
        <v>778</v>
      </c>
      <c r="K93" s="3"/>
      <c r="L93" s="3"/>
      <c r="M93" s="20">
        <v>200</v>
      </c>
      <c r="N93" s="34"/>
      <c r="O93" s="3"/>
      <c r="P93" s="3">
        <v>1</v>
      </c>
      <c r="Q93" s="3"/>
      <c r="R93" s="3"/>
      <c r="S93" s="3"/>
    </row>
    <row r="94" spans="1:23" ht="25" customHeight="1" x14ac:dyDescent="0.3">
      <c r="A94" s="3">
        <v>85</v>
      </c>
      <c r="B94" s="3" t="s">
        <v>748</v>
      </c>
      <c r="C94" s="3" t="s">
        <v>749</v>
      </c>
      <c r="D94" s="3" t="s">
        <v>750</v>
      </c>
      <c r="E94" s="3">
        <v>27</v>
      </c>
      <c r="F94" s="3" t="s">
        <v>23</v>
      </c>
      <c r="G94" s="3" t="s">
        <v>29</v>
      </c>
      <c r="H94" s="3"/>
      <c r="I94" s="3"/>
      <c r="J94" s="25" t="s">
        <v>751</v>
      </c>
      <c r="K94" s="3"/>
      <c r="L94" s="3"/>
      <c r="M94" s="20">
        <v>200</v>
      </c>
      <c r="N94" s="33"/>
      <c r="O94" s="3">
        <v>1</v>
      </c>
      <c r="P94" s="3"/>
      <c r="Q94" s="3"/>
      <c r="R94" s="3"/>
      <c r="S94" s="3"/>
    </row>
    <row r="95" spans="1:23" ht="25" customHeight="1" x14ac:dyDescent="0.3">
      <c r="A95" s="3">
        <v>86</v>
      </c>
      <c r="B95" s="3" t="s">
        <v>965</v>
      </c>
      <c r="C95" s="3" t="s">
        <v>966</v>
      </c>
      <c r="D95" s="3" t="s">
        <v>967</v>
      </c>
      <c r="E95" s="3">
        <v>29</v>
      </c>
      <c r="F95" s="3" t="s">
        <v>23</v>
      </c>
      <c r="G95" s="3" t="s">
        <v>24</v>
      </c>
      <c r="H95" s="3"/>
      <c r="I95" s="3"/>
      <c r="J95" s="25" t="s">
        <v>778</v>
      </c>
      <c r="K95" s="3"/>
      <c r="L95" s="3"/>
      <c r="M95" s="20">
        <v>200</v>
      </c>
      <c r="N95" s="34"/>
      <c r="O95" s="3"/>
      <c r="P95" s="3">
        <v>1</v>
      </c>
      <c r="Q95" s="3"/>
      <c r="R95" s="3"/>
      <c r="S95" s="3"/>
      <c r="W95" s="32">
        <v>0.4375</v>
      </c>
    </row>
    <row r="96" spans="1:23" ht="25" customHeight="1" x14ac:dyDescent="0.3">
      <c r="A96" s="3">
        <v>87</v>
      </c>
      <c r="B96" s="3" t="s">
        <v>968</v>
      </c>
      <c r="C96" s="3" t="s">
        <v>969</v>
      </c>
      <c r="D96" s="3" t="s">
        <v>970</v>
      </c>
      <c r="E96" s="3">
        <v>28</v>
      </c>
      <c r="F96" s="3" t="s">
        <v>23</v>
      </c>
      <c r="G96" s="3" t="s">
        <v>29</v>
      </c>
      <c r="H96" s="3"/>
      <c r="I96" s="3"/>
      <c r="J96" s="25" t="s">
        <v>971</v>
      </c>
      <c r="K96" s="3" t="s">
        <v>30</v>
      </c>
      <c r="L96" s="3">
        <v>2909260</v>
      </c>
      <c r="M96" s="20">
        <v>200</v>
      </c>
      <c r="N96" s="34"/>
      <c r="O96" s="3">
        <v>1</v>
      </c>
      <c r="P96" s="3"/>
      <c r="Q96" s="3"/>
      <c r="R96" s="3"/>
      <c r="S96" s="3"/>
    </row>
    <row r="97" spans="1:19" ht="25" customHeight="1" x14ac:dyDescent="0.3">
      <c r="A97" s="3">
        <v>88</v>
      </c>
      <c r="B97" s="3" t="s">
        <v>972</v>
      </c>
      <c r="C97" s="3" t="s">
        <v>854</v>
      </c>
      <c r="D97" s="3" t="s">
        <v>109</v>
      </c>
      <c r="E97" s="3">
        <v>24</v>
      </c>
      <c r="F97" s="3" t="s">
        <v>23</v>
      </c>
      <c r="G97" s="3" t="s">
        <v>24</v>
      </c>
      <c r="H97" s="3"/>
      <c r="I97" s="3"/>
      <c r="J97" s="25" t="s">
        <v>973</v>
      </c>
      <c r="K97" s="3" t="s">
        <v>25</v>
      </c>
      <c r="L97" s="3">
        <v>8196287</v>
      </c>
      <c r="M97" s="20">
        <v>200</v>
      </c>
      <c r="N97" s="34"/>
      <c r="O97" s="3"/>
      <c r="P97" s="3">
        <v>1</v>
      </c>
      <c r="Q97" s="3"/>
      <c r="R97" s="3"/>
      <c r="S97" s="3"/>
    </row>
    <row r="98" spans="1:19" ht="25" customHeight="1" x14ac:dyDescent="0.3">
      <c r="A98" s="3">
        <v>89</v>
      </c>
      <c r="B98" s="3" t="s">
        <v>980</v>
      </c>
      <c r="C98" s="3" t="s">
        <v>970</v>
      </c>
      <c r="D98" s="3" t="s">
        <v>247</v>
      </c>
      <c r="E98" s="3">
        <v>34</v>
      </c>
      <c r="F98" s="3" t="s">
        <v>23</v>
      </c>
      <c r="G98" s="3" t="s">
        <v>24</v>
      </c>
      <c r="H98" s="3"/>
      <c r="I98" s="3"/>
      <c r="J98" s="25" t="s">
        <v>979</v>
      </c>
      <c r="K98" s="3"/>
      <c r="L98" s="3"/>
      <c r="M98" s="20">
        <v>200</v>
      </c>
      <c r="N98" s="34"/>
      <c r="O98" s="3"/>
      <c r="P98" s="3">
        <v>1</v>
      </c>
      <c r="Q98" s="3"/>
      <c r="R98" s="3"/>
      <c r="S98" s="3"/>
    </row>
    <row r="99" spans="1:19" ht="25" customHeight="1" x14ac:dyDescent="0.3">
      <c r="A99" s="3">
        <v>90</v>
      </c>
      <c r="B99" s="3" t="s">
        <v>990</v>
      </c>
      <c r="C99" s="3" t="s">
        <v>991</v>
      </c>
      <c r="D99" s="3" t="s">
        <v>254</v>
      </c>
      <c r="E99" s="3">
        <v>34</v>
      </c>
      <c r="F99" s="3" t="s">
        <v>23</v>
      </c>
      <c r="G99" s="3" t="s">
        <v>24</v>
      </c>
      <c r="H99" s="3"/>
      <c r="I99" s="3"/>
      <c r="J99" s="25" t="s">
        <v>979</v>
      </c>
      <c r="K99" s="3"/>
      <c r="L99" s="3"/>
      <c r="M99" s="20">
        <v>200</v>
      </c>
      <c r="N99" s="34"/>
      <c r="O99" s="3"/>
      <c r="P99" s="3">
        <v>1</v>
      </c>
      <c r="Q99" s="3"/>
      <c r="R99" s="3"/>
      <c r="S99" s="3"/>
    </row>
    <row r="100" spans="1:19" ht="25" customHeight="1" x14ac:dyDescent="0.3">
      <c r="A100" s="3">
        <v>91</v>
      </c>
      <c r="B100" s="3" t="s">
        <v>1006</v>
      </c>
      <c r="C100" s="3" t="s">
        <v>1007</v>
      </c>
      <c r="D100" s="3" t="s">
        <v>1008</v>
      </c>
      <c r="E100" s="3">
        <v>28</v>
      </c>
      <c r="F100" s="3" t="s">
        <v>23</v>
      </c>
      <c r="G100" s="3" t="s">
        <v>24</v>
      </c>
      <c r="H100" s="3"/>
      <c r="I100" s="3"/>
      <c r="J100" s="25" t="s">
        <v>1009</v>
      </c>
      <c r="K100" s="3"/>
      <c r="L100" s="3"/>
      <c r="M100" s="20">
        <v>200</v>
      </c>
      <c r="N100" s="34"/>
      <c r="O100" s="3"/>
      <c r="P100" s="3">
        <v>1</v>
      </c>
      <c r="Q100" s="3"/>
      <c r="R100" s="3"/>
      <c r="S100" s="3"/>
    </row>
    <row r="101" spans="1:19" ht="25" customHeight="1" x14ac:dyDescent="0.3">
      <c r="A101" s="3">
        <v>92</v>
      </c>
      <c r="B101" s="3" t="s">
        <v>1018</v>
      </c>
      <c r="C101" s="3" t="s">
        <v>1019</v>
      </c>
      <c r="D101" s="3" t="s">
        <v>1020</v>
      </c>
      <c r="E101" s="3">
        <v>28</v>
      </c>
      <c r="F101" s="3" t="s">
        <v>23</v>
      </c>
      <c r="G101" s="3" t="s">
        <v>29</v>
      </c>
      <c r="H101" s="3"/>
      <c r="I101" s="3"/>
      <c r="J101" s="25" t="s">
        <v>1009</v>
      </c>
      <c r="K101" s="3"/>
      <c r="L101" s="3"/>
      <c r="M101" s="20">
        <v>200</v>
      </c>
      <c r="N101" s="34"/>
      <c r="O101" s="3">
        <v>1</v>
      </c>
      <c r="P101" s="3"/>
      <c r="Q101" s="3"/>
      <c r="R101" s="3"/>
      <c r="S101" s="3"/>
    </row>
    <row r="102" spans="1:19" ht="25" customHeight="1" x14ac:dyDescent="0.3">
      <c r="A102" s="3">
        <v>93</v>
      </c>
      <c r="B102" s="3" t="s">
        <v>1027</v>
      </c>
      <c r="C102" s="3" t="s">
        <v>1028</v>
      </c>
      <c r="D102" s="3" t="s">
        <v>1029</v>
      </c>
      <c r="E102" s="3">
        <v>31</v>
      </c>
      <c r="F102" s="3" t="s">
        <v>23</v>
      </c>
      <c r="G102" s="3" t="s">
        <v>24</v>
      </c>
      <c r="H102" s="3"/>
      <c r="I102" s="3"/>
      <c r="J102" s="25" t="s">
        <v>1009</v>
      </c>
      <c r="K102" s="3"/>
      <c r="L102" s="3"/>
      <c r="M102" s="20">
        <v>200</v>
      </c>
      <c r="N102" s="34"/>
      <c r="O102" s="3"/>
      <c r="P102" s="3">
        <v>1</v>
      </c>
      <c r="Q102" s="3"/>
      <c r="R102" s="3"/>
      <c r="S102" s="3"/>
    </row>
    <row r="103" spans="1:19" ht="25" customHeight="1" x14ac:dyDescent="0.3">
      <c r="A103" s="3">
        <v>94</v>
      </c>
      <c r="B103" s="3" t="s">
        <v>1030</v>
      </c>
      <c r="C103" s="3" t="s">
        <v>1031</v>
      </c>
      <c r="D103" s="3" t="s">
        <v>1032</v>
      </c>
      <c r="E103" s="3">
        <v>31</v>
      </c>
      <c r="F103" s="3" t="s">
        <v>23</v>
      </c>
      <c r="G103" s="3" t="s">
        <v>24</v>
      </c>
      <c r="H103" s="3"/>
      <c r="I103" s="3"/>
      <c r="J103" s="25" t="s">
        <v>1033</v>
      </c>
      <c r="K103" s="3"/>
      <c r="L103" s="3"/>
      <c r="M103" s="20">
        <v>200</v>
      </c>
      <c r="N103" s="34"/>
      <c r="O103" s="3"/>
      <c r="P103" s="3">
        <v>1</v>
      </c>
      <c r="Q103" s="3"/>
      <c r="R103" s="3"/>
      <c r="S103" s="3"/>
    </row>
    <row r="104" spans="1:19" ht="25" customHeight="1" x14ac:dyDescent="0.3">
      <c r="A104" s="3">
        <v>95</v>
      </c>
      <c r="B104" s="3" t="s">
        <v>810</v>
      </c>
      <c r="C104" s="3" t="s">
        <v>811</v>
      </c>
      <c r="D104" s="3" t="s">
        <v>88</v>
      </c>
      <c r="E104" s="3">
        <v>32</v>
      </c>
      <c r="F104" s="3" t="s">
        <v>23</v>
      </c>
      <c r="G104" s="3" t="s">
        <v>24</v>
      </c>
      <c r="H104" s="3"/>
      <c r="I104" s="3"/>
      <c r="J104" s="25" t="s">
        <v>812</v>
      </c>
      <c r="K104" s="3"/>
      <c r="L104" s="3"/>
      <c r="M104" s="20">
        <v>200</v>
      </c>
      <c r="N104" s="34"/>
      <c r="O104" s="3"/>
      <c r="P104" s="3">
        <v>1</v>
      </c>
      <c r="Q104" s="3"/>
      <c r="R104" s="3"/>
      <c r="S104" s="3"/>
    </row>
    <row r="105" spans="1:19" ht="25" customHeight="1" x14ac:dyDescent="0.3">
      <c r="A105" s="3">
        <v>96</v>
      </c>
      <c r="B105" s="3" t="s">
        <v>817</v>
      </c>
      <c r="C105" s="3" t="s">
        <v>818</v>
      </c>
      <c r="D105" s="3" t="s">
        <v>318</v>
      </c>
      <c r="E105" s="3">
        <v>30</v>
      </c>
      <c r="F105" s="3" t="s">
        <v>23</v>
      </c>
      <c r="G105" s="3" t="s">
        <v>29</v>
      </c>
      <c r="H105" s="3"/>
      <c r="I105" s="3"/>
      <c r="J105" s="25" t="s">
        <v>565</v>
      </c>
      <c r="K105" s="3"/>
      <c r="L105" s="3"/>
      <c r="M105" s="20">
        <v>200</v>
      </c>
      <c r="N105" s="34"/>
      <c r="O105" s="3">
        <v>1</v>
      </c>
      <c r="P105" s="3"/>
      <c r="Q105" s="3"/>
      <c r="R105" s="3"/>
      <c r="S105" s="3"/>
    </row>
    <row r="106" spans="1:19" ht="25" customHeight="1" x14ac:dyDescent="0.3">
      <c r="A106" s="3">
        <v>97</v>
      </c>
      <c r="B106" s="3" t="s">
        <v>833</v>
      </c>
      <c r="C106" s="3" t="s">
        <v>834</v>
      </c>
      <c r="D106" s="3" t="s">
        <v>835</v>
      </c>
      <c r="E106" s="3">
        <v>27</v>
      </c>
      <c r="F106" s="3" t="s">
        <v>23</v>
      </c>
      <c r="G106" s="3" t="s">
        <v>24</v>
      </c>
      <c r="H106" s="3"/>
      <c r="I106" s="3"/>
      <c r="J106" s="25" t="s">
        <v>836</v>
      </c>
      <c r="K106" s="3"/>
      <c r="L106" s="3"/>
      <c r="M106" s="20">
        <v>200</v>
      </c>
      <c r="N106" s="34"/>
      <c r="O106" s="3"/>
      <c r="P106" s="3">
        <v>1</v>
      </c>
      <c r="Q106" s="3"/>
      <c r="R106" s="3"/>
      <c r="S106" s="3"/>
    </row>
    <row r="107" spans="1:19" ht="25" customHeight="1" x14ac:dyDescent="0.3">
      <c r="A107" s="3">
        <v>98</v>
      </c>
      <c r="B107" s="3" t="s">
        <v>842</v>
      </c>
      <c r="C107" s="3" t="s">
        <v>843</v>
      </c>
      <c r="D107" s="3" t="s">
        <v>844</v>
      </c>
      <c r="E107" s="3">
        <v>30</v>
      </c>
      <c r="F107" s="3" t="s">
        <v>23</v>
      </c>
      <c r="G107" s="3" t="s">
        <v>24</v>
      </c>
      <c r="H107" s="3"/>
      <c r="I107" s="3"/>
      <c r="J107" s="25" t="s">
        <v>836</v>
      </c>
      <c r="K107" s="3"/>
      <c r="L107" s="3"/>
      <c r="M107" s="20">
        <v>200</v>
      </c>
      <c r="N107" s="34"/>
      <c r="O107" s="3"/>
      <c r="P107" s="3">
        <v>1</v>
      </c>
      <c r="Q107" s="3"/>
      <c r="R107" s="3"/>
      <c r="S107" s="3"/>
    </row>
    <row r="108" spans="1:19" ht="25" customHeight="1" x14ac:dyDescent="0.3">
      <c r="A108" s="3">
        <v>99</v>
      </c>
      <c r="B108" s="3" t="s">
        <v>846</v>
      </c>
      <c r="C108" s="3" t="s">
        <v>847</v>
      </c>
      <c r="D108" s="3" t="s">
        <v>848</v>
      </c>
      <c r="E108" s="3">
        <v>33</v>
      </c>
      <c r="F108" s="3" t="s">
        <v>23</v>
      </c>
      <c r="G108" s="3" t="s">
        <v>24</v>
      </c>
      <c r="H108" s="3"/>
      <c r="I108" s="3"/>
      <c r="J108" s="25" t="s">
        <v>821</v>
      </c>
      <c r="K108" s="3"/>
      <c r="L108" s="3"/>
      <c r="M108" s="20">
        <v>200</v>
      </c>
      <c r="N108" s="34"/>
      <c r="O108" s="3"/>
      <c r="P108" s="3">
        <v>1</v>
      </c>
      <c r="Q108" s="3"/>
      <c r="R108" s="3"/>
      <c r="S108" s="3"/>
    </row>
    <row r="109" spans="1:19" ht="25" customHeight="1" x14ac:dyDescent="0.3">
      <c r="A109" s="3">
        <v>100</v>
      </c>
      <c r="B109" s="3" t="s">
        <v>870</v>
      </c>
      <c r="C109" s="3" t="s">
        <v>871</v>
      </c>
      <c r="D109" s="3" t="s">
        <v>199</v>
      </c>
      <c r="E109" s="3">
        <v>31</v>
      </c>
      <c r="F109" s="3" t="s">
        <v>23</v>
      </c>
      <c r="G109" s="3" t="s">
        <v>24</v>
      </c>
      <c r="H109" s="3"/>
      <c r="I109" s="3"/>
      <c r="J109" s="25" t="s">
        <v>565</v>
      </c>
      <c r="K109" s="3"/>
      <c r="L109" s="3"/>
      <c r="M109" s="20">
        <v>200</v>
      </c>
      <c r="N109" s="34"/>
      <c r="O109" s="3"/>
      <c r="P109" s="3">
        <v>1</v>
      </c>
      <c r="Q109" s="3"/>
      <c r="R109" s="3"/>
      <c r="S109" s="3"/>
    </row>
    <row r="110" spans="1:19" ht="25" customHeight="1" x14ac:dyDescent="0.3">
      <c r="A110" s="3">
        <v>101</v>
      </c>
      <c r="B110" s="3" t="s">
        <v>874</v>
      </c>
      <c r="C110" s="3" t="s">
        <v>111</v>
      </c>
      <c r="D110" s="3" t="s">
        <v>420</v>
      </c>
      <c r="E110" s="3">
        <v>29</v>
      </c>
      <c r="F110" s="3" t="s">
        <v>23</v>
      </c>
      <c r="G110" s="3" t="s">
        <v>29</v>
      </c>
      <c r="H110" s="3"/>
      <c r="I110" s="3"/>
      <c r="J110" s="25" t="s">
        <v>836</v>
      </c>
      <c r="K110" s="3"/>
      <c r="L110" s="3"/>
      <c r="M110" s="20">
        <v>200</v>
      </c>
      <c r="N110" s="34"/>
      <c r="O110" s="3">
        <v>1</v>
      </c>
      <c r="P110" s="3"/>
      <c r="Q110" s="3"/>
      <c r="R110" s="3"/>
      <c r="S110" s="3"/>
    </row>
    <row r="111" spans="1:19" ht="25" customHeight="1" x14ac:dyDescent="0.3">
      <c r="A111" s="3">
        <v>102</v>
      </c>
      <c r="B111" s="3" t="s">
        <v>881</v>
      </c>
      <c r="C111" s="3" t="s">
        <v>227</v>
      </c>
      <c r="D111" s="3" t="s">
        <v>882</v>
      </c>
      <c r="E111" s="3">
        <v>33</v>
      </c>
      <c r="F111" s="3" t="s">
        <v>23</v>
      </c>
      <c r="G111" s="3" t="s">
        <v>24</v>
      </c>
      <c r="H111" s="3"/>
      <c r="I111" s="3"/>
      <c r="J111" s="25" t="s">
        <v>565</v>
      </c>
      <c r="K111" s="3"/>
      <c r="L111" s="3"/>
      <c r="M111" s="20">
        <v>200</v>
      </c>
      <c r="N111" s="34"/>
      <c r="O111" s="3"/>
      <c r="P111" s="3">
        <v>1</v>
      </c>
      <c r="Q111" s="3"/>
      <c r="R111" s="3"/>
      <c r="S111" s="3"/>
    </row>
    <row r="112" spans="1:19" ht="25" customHeight="1" x14ac:dyDescent="0.3">
      <c r="A112" s="3">
        <v>103</v>
      </c>
      <c r="B112" s="3" t="s">
        <v>883</v>
      </c>
      <c r="C112" s="3" t="s">
        <v>884</v>
      </c>
      <c r="D112" s="3" t="s">
        <v>885</v>
      </c>
      <c r="E112" s="3">
        <v>34</v>
      </c>
      <c r="F112" s="3" t="s">
        <v>23</v>
      </c>
      <c r="G112" s="3" t="s">
        <v>24</v>
      </c>
      <c r="H112" s="3"/>
      <c r="I112" s="3"/>
      <c r="J112" s="25" t="s">
        <v>880</v>
      </c>
      <c r="K112" s="3"/>
      <c r="L112" s="3"/>
      <c r="M112" s="20">
        <v>200</v>
      </c>
      <c r="N112" s="34"/>
      <c r="O112" s="3"/>
      <c r="P112" s="3">
        <v>1</v>
      </c>
      <c r="Q112" s="3"/>
      <c r="R112" s="3"/>
      <c r="S112" s="3"/>
    </row>
    <row r="113" spans="1:19" ht="25" customHeight="1" x14ac:dyDescent="0.3">
      <c r="A113" s="3">
        <v>104</v>
      </c>
      <c r="B113" s="3" t="s">
        <v>886</v>
      </c>
      <c r="C113" s="3" t="s">
        <v>126</v>
      </c>
      <c r="D113" s="3" t="s">
        <v>227</v>
      </c>
      <c r="E113" s="3">
        <v>25</v>
      </c>
      <c r="F113" s="3" t="s">
        <v>23</v>
      </c>
      <c r="G113" s="3" t="s">
        <v>29</v>
      </c>
      <c r="H113" s="3"/>
      <c r="I113" s="3"/>
      <c r="J113" s="25" t="s">
        <v>565</v>
      </c>
      <c r="K113" s="3"/>
      <c r="L113" s="3"/>
      <c r="M113" s="20">
        <v>200</v>
      </c>
      <c r="N113" s="34"/>
      <c r="O113" s="3">
        <v>1</v>
      </c>
      <c r="P113" s="3"/>
      <c r="Q113" s="3"/>
      <c r="R113" s="3"/>
      <c r="S113" s="3"/>
    </row>
    <row r="114" spans="1:19" ht="25" customHeight="1" x14ac:dyDescent="0.3">
      <c r="A114" s="3">
        <v>105</v>
      </c>
      <c r="B114" s="3" t="s">
        <v>887</v>
      </c>
      <c r="C114" s="3" t="s">
        <v>126</v>
      </c>
      <c r="D114" s="3" t="s">
        <v>306</v>
      </c>
      <c r="E114" s="3">
        <v>29</v>
      </c>
      <c r="F114" s="3" t="s">
        <v>23</v>
      </c>
      <c r="G114" s="3" t="s">
        <v>24</v>
      </c>
      <c r="H114" s="3"/>
      <c r="I114" s="3"/>
      <c r="J114" s="25" t="s">
        <v>565</v>
      </c>
      <c r="K114" s="3"/>
      <c r="L114" s="3"/>
      <c r="M114" s="20">
        <v>200</v>
      </c>
      <c r="N114" s="34"/>
      <c r="O114" s="3"/>
      <c r="P114" s="3">
        <v>1</v>
      </c>
      <c r="Q114" s="3"/>
      <c r="R114" s="3"/>
      <c r="S114" s="3"/>
    </row>
    <row r="115" spans="1:19" ht="25" customHeight="1" x14ac:dyDescent="0.3">
      <c r="A115" s="3">
        <v>106</v>
      </c>
      <c r="B115" s="3" t="s">
        <v>593</v>
      </c>
      <c r="C115" s="3" t="s">
        <v>354</v>
      </c>
      <c r="D115" s="3" t="s">
        <v>888</v>
      </c>
      <c r="E115" s="3">
        <v>28</v>
      </c>
      <c r="F115" s="3" t="s">
        <v>23</v>
      </c>
      <c r="G115" s="3" t="s">
        <v>29</v>
      </c>
      <c r="H115" s="3"/>
      <c r="I115" s="3"/>
      <c r="J115" s="25" t="s">
        <v>565</v>
      </c>
      <c r="K115" s="3"/>
      <c r="L115" s="3"/>
      <c r="M115" s="20">
        <v>200</v>
      </c>
      <c r="N115" s="34"/>
      <c r="O115" s="3">
        <v>1</v>
      </c>
      <c r="P115" s="3"/>
      <c r="Q115" s="3"/>
      <c r="R115" s="3"/>
      <c r="S115" s="3"/>
    </row>
    <row r="116" spans="1:19" ht="25" customHeight="1" x14ac:dyDescent="0.3">
      <c r="A116" s="3">
        <v>107</v>
      </c>
      <c r="B116" s="3" t="s">
        <v>905</v>
      </c>
      <c r="C116" s="3" t="s">
        <v>111</v>
      </c>
      <c r="D116" s="3" t="s">
        <v>111</v>
      </c>
      <c r="E116" s="3">
        <v>33</v>
      </c>
      <c r="F116" s="3" t="s">
        <v>23</v>
      </c>
      <c r="G116" s="3" t="s">
        <v>29</v>
      </c>
      <c r="H116" s="3"/>
      <c r="I116" s="3"/>
      <c r="J116" s="25" t="s">
        <v>565</v>
      </c>
      <c r="K116" s="3"/>
      <c r="L116" s="3"/>
      <c r="M116" s="20">
        <v>200</v>
      </c>
      <c r="N116" s="34"/>
      <c r="O116" s="3">
        <v>1</v>
      </c>
      <c r="P116" s="3"/>
      <c r="Q116" s="3"/>
      <c r="R116" s="3"/>
      <c r="S116" s="3"/>
    </row>
    <row r="117" spans="1:19" ht="25" customHeight="1" x14ac:dyDescent="0.3">
      <c r="A117" s="3">
        <v>108</v>
      </c>
      <c r="B117" s="3" t="s">
        <v>907</v>
      </c>
      <c r="C117" s="3" t="s">
        <v>908</v>
      </c>
      <c r="D117" s="3" t="s">
        <v>111</v>
      </c>
      <c r="E117" s="3">
        <v>25</v>
      </c>
      <c r="F117" s="3" t="s">
        <v>23</v>
      </c>
      <c r="G117" s="3" t="s">
        <v>29</v>
      </c>
      <c r="H117" s="3"/>
      <c r="I117" s="3"/>
      <c r="J117" s="25" t="s">
        <v>453</v>
      </c>
      <c r="K117" s="3"/>
      <c r="L117" s="3"/>
      <c r="M117" s="20">
        <v>200</v>
      </c>
      <c r="N117" s="34"/>
      <c r="O117" s="3">
        <v>1</v>
      </c>
      <c r="P117" s="3"/>
      <c r="Q117" s="3"/>
      <c r="R117" s="3"/>
      <c r="S117" s="3"/>
    </row>
    <row r="118" spans="1:19" ht="25" customHeight="1" x14ac:dyDescent="0.3">
      <c r="A118" s="3">
        <v>109</v>
      </c>
      <c r="B118" s="3" t="s">
        <v>914</v>
      </c>
      <c r="C118" s="3" t="s">
        <v>915</v>
      </c>
      <c r="D118" s="3" t="s">
        <v>916</v>
      </c>
      <c r="E118" s="3">
        <v>26</v>
      </c>
      <c r="F118" s="3" t="s">
        <v>23</v>
      </c>
      <c r="G118" s="3" t="s">
        <v>29</v>
      </c>
      <c r="H118" s="3"/>
      <c r="I118" s="3"/>
      <c r="J118" s="25" t="s">
        <v>571</v>
      </c>
      <c r="K118" s="3"/>
      <c r="L118" s="3"/>
      <c r="M118" s="20">
        <v>200</v>
      </c>
      <c r="N118" s="34"/>
      <c r="O118" s="3">
        <v>1</v>
      </c>
      <c r="P118" s="3"/>
      <c r="Q118" s="3"/>
      <c r="R118" s="3"/>
      <c r="S118" s="3"/>
    </row>
    <row r="119" spans="1:19" ht="25" customHeight="1" x14ac:dyDescent="0.3">
      <c r="A119" s="3">
        <v>110</v>
      </c>
      <c r="B119" s="3" t="s">
        <v>924</v>
      </c>
      <c r="C119" s="3" t="s">
        <v>339</v>
      </c>
      <c r="D119" s="3" t="s">
        <v>201</v>
      </c>
      <c r="E119" s="3">
        <v>19</v>
      </c>
      <c r="F119" s="3" t="s">
        <v>23</v>
      </c>
      <c r="G119" s="3" t="s">
        <v>24</v>
      </c>
      <c r="H119" s="3"/>
      <c r="I119" s="3"/>
      <c r="J119" s="25" t="s">
        <v>453</v>
      </c>
      <c r="K119" s="3"/>
      <c r="L119" s="3"/>
      <c r="M119" s="20">
        <v>200</v>
      </c>
      <c r="N119" s="34"/>
      <c r="O119" s="3"/>
      <c r="P119" s="3">
        <v>1</v>
      </c>
      <c r="Q119" s="3"/>
      <c r="R119" s="3"/>
      <c r="S119" s="3"/>
    </row>
    <row r="120" spans="1:19" ht="25" customHeight="1" x14ac:dyDescent="0.3">
      <c r="A120" s="3">
        <v>111</v>
      </c>
      <c r="B120" s="3" t="s">
        <v>932</v>
      </c>
      <c r="C120" s="3" t="s">
        <v>933</v>
      </c>
      <c r="D120" s="3" t="s">
        <v>934</v>
      </c>
      <c r="E120" s="3">
        <v>24</v>
      </c>
      <c r="F120" s="3" t="s">
        <v>23</v>
      </c>
      <c r="G120" s="3" t="s">
        <v>24</v>
      </c>
      <c r="H120" s="3"/>
      <c r="I120" s="3"/>
      <c r="J120" s="25" t="s">
        <v>565</v>
      </c>
      <c r="K120" s="3"/>
      <c r="L120" s="3"/>
      <c r="M120" s="20">
        <v>200</v>
      </c>
      <c r="N120" s="34"/>
      <c r="O120" s="3"/>
      <c r="P120" s="3">
        <v>1</v>
      </c>
      <c r="Q120" s="3"/>
      <c r="R120" s="3"/>
      <c r="S120" s="3"/>
    </row>
    <row r="121" spans="1:19" ht="25" customHeight="1" x14ac:dyDescent="0.3">
      <c r="A121" s="3">
        <v>112</v>
      </c>
      <c r="B121" s="3" t="s">
        <v>936</v>
      </c>
      <c r="C121" s="3" t="s">
        <v>433</v>
      </c>
      <c r="D121" s="3" t="s">
        <v>937</v>
      </c>
      <c r="E121" s="3">
        <v>28</v>
      </c>
      <c r="F121" s="3" t="s">
        <v>23</v>
      </c>
      <c r="G121" s="3" t="s">
        <v>24</v>
      </c>
      <c r="H121" s="3"/>
      <c r="I121" s="3"/>
      <c r="J121" s="25" t="s">
        <v>880</v>
      </c>
      <c r="K121" s="3"/>
      <c r="L121" s="3"/>
      <c r="M121" s="20">
        <v>200</v>
      </c>
      <c r="N121" s="34"/>
      <c r="O121" s="3"/>
      <c r="P121" s="3">
        <v>1</v>
      </c>
      <c r="Q121" s="3"/>
      <c r="R121" s="3"/>
      <c r="S121" s="3"/>
    </row>
    <row r="122" spans="1:19" ht="25" customHeight="1" x14ac:dyDescent="0.3">
      <c r="A122" s="3">
        <v>113</v>
      </c>
      <c r="B122" s="3" t="s">
        <v>98</v>
      </c>
      <c r="C122" s="3" t="s">
        <v>605</v>
      </c>
      <c r="D122" s="3" t="s">
        <v>938</v>
      </c>
      <c r="E122" s="3">
        <v>32</v>
      </c>
      <c r="F122" s="3" t="s">
        <v>23</v>
      </c>
      <c r="G122" s="3" t="s">
        <v>24</v>
      </c>
      <c r="H122" s="3"/>
      <c r="I122" s="3"/>
      <c r="J122" s="25" t="s">
        <v>565</v>
      </c>
      <c r="K122" s="3"/>
      <c r="L122" s="3"/>
      <c r="M122" s="20">
        <v>200</v>
      </c>
      <c r="N122" s="34"/>
      <c r="O122" s="3"/>
      <c r="P122" s="3">
        <v>1</v>
      </c>
      <c r="Q122" s="3"/>
      <c r="R122" s="3"/>
      <c r="S122" s="3"/>
    </row>
    <row r="123" spans="1:19" ht="25" customHeight="1" x14ac:dyDescent="0.3">
      <c r="A123" s="3">
        <v>114</v>
      </c>
      <c r="B123" s="3" t="s">
        <v>947</v>
      </c>
      <c r="C123" s="3" t="s">
        <v>327</v>
      </c>
      <c r="D123" s="3" t="s">
        <v>948</v>
      </c>
      <c r="E123" s="3">
        <v>26</v>
      </c>
      <c r="F123" s="3" t="s">
        <v>23</v>
      </c>
      <c r="G123" s="3" t="s">
        <v>29</v>
      </c>
      <c r="H123" s="3"/>
      <c r="I123" s="3"/>
      <c r="J123" s="25" t="s">
        <v>944</v>
      </c>
      <c r="K123" s="3"/>
      <c r="L123" s="3"/>
      <c r="M123" s="20">
        <v>200</v>
      </c>
      <c r="N123" s="34"/>
      <c r="O123" s="3">
        <v>1</v>
      </c>
      <c r="P123" s="3"/>
      <c r="Q123" s="3"/>
      <c r="R123" s="3"/>
      <c r="S123" s="3"/>
    </row>
    <row r="124" spans="1:19" ht="25" customHeight="1" x14ac:dyDescent="0.3">
      <c r="A124" s="3">
        <v>115</v>
      </c>
      <c r="B124" s="3" t="s">
        <v>949</v>
      </c>
      <c r="C124" s="3" t="s">
        <v>950</v>
      </c>
      <c r="D124" s="3" t="s">
        <v>332</v>
      </c>
      <c r="E124" s="3">
        <v>33</v>
      </c>
      <c r="F124" s="3" t="s">
        <v>23</v>
      </c>
      <c r="G124" s="3" t="s">
        <v>24</v>
      </c>
      <c r="H124" s="3"/>
      <c r="I124" s="3"/>
      <c r="J124" s="25" t="s">
        <v>565</v>
      </c>
      <c r="K124" s="3"/>
      <c r="L124" s="3"/>
      <c r="M124" s="20">
        <v>200</v>
      </c>
      <c r="N124" s="34"/>
      <c r="O124" s="3"/>
      <c r="P124" s="3">
        <v>1</v>
      </c>
      <c r="Q124" s="3"/>
      <c r="R124" s="3"/>
      <c r="S124" s="3"/>
    </row>
    <row r="125" spans="1:19" ht="25" customHeight="1" x14ac:dyDescent="0.3">
      <c r="A125" s="3">
        <v>116</v>
      </c>
      <c r="B125" s="3" t="s">
        <v>951</v>
      </c>
      <c r="C125" s="3" t="s">
        <v>873</v>
      </c>
      <c r="D125" s="3" t="s">
        <v>873</v>
      </c>
      <c r="E125" s="3">
        <v>25</v>
      </c>
      <c r="F125" s="3" t="s">
        <v>23</v>
      </c>
      <c r="G125" s="3" t="s">
        <v>24</v>
      </c>
      <c r="H125" s="3"/>
      <c r="I125" s="3"/>
      <c r="J125" s="25" t="s">
        <v>952</v>
      </c>
      <c r="K125" s="3"/>
      <c r="L125" s="3"/>
      <c r="M125" s="20">
        <v>200</v>
      </c>
      <c r="N125" s="34"/>
      <c r="O125" s="3"/>
      <c r="P125" s="3">
        <v>1</v>
      </c>
      <c r="Q125" s="3"/>
      <c r="R125" s="3"/>
      <c r="S125" s="3"/>
    </row>
    <row r="126" spans="1:19" ht="25" customHeight="1" x14ac:dyDescent="0.3">
      <c r="A126" s="3">
        <v>117</v>
      </c>
      <c r="B126" s="3" t="s">
        <v>963</v>
      </c>
      <c r="C126" s="3" t="s">
        <v>706</v>
      </c>
      <c r="D126" s="3" t="s">
        <v>922</v>
      </c>
      <c r="E126" s="3">
        <v>31</v>
      </c>
      <c r="F126" s="3" t="s">
        <v>23</v>
      </c>
      <c r="G126" s="3" t="s">
        <v>24</v>
      </c>
      <c r="H126" s="3"/>
      <c r="I126" s="3"/>
      <c r="J126" s="25" t="s">
        <v>453</v>
      </c>
      <c r="K126" s="3"/>
      <c r="L126" s="3"/>
      <c r="M126" s="20">
        <v>200</v>
      </c>
      <c r="N126" s="34"/>
      <c r="O126" s="3"/>
      <c r="P126" s="3">
        <v>1</v>
      </c>
      <c r="Q126" s="3"/>
      <c r="R126" s="3"/>
      <c r="S126" s="3"/>
    </row>
    <row r="127" spans="1:19" ht="25" customHeight="1" x14ac:dyDescent="0.3">
      <c r="A127" s="3">
        <v>118</v>
      </c>
      <c r="B127" s="3" t="s">
        <v>1062</v>
      </c>
      <c r="C127" s="3" t="s">
        <v>912</v>
      </c>
      <c r="D127" s="3" t="s">
        <v>913</v>
      </c>
      <c r="E127" s="3">
        <v>26</v>
      </c>
      <c r="F127" s="3"/>
      <c r="G127" s="3" t="s">
        <v>24</v>
      </c>
      <c r="H127" s="3"/>
      <c r="I127" s="3"/>
      <c r="J127" s="25" t="s">
        <v>1063</v>
      </c>
      <c r="K127" s="3"/>
      <c r="L127" s="3"/>
      <c r="M127" s="20">
        <v>200</v>
      </c>
      <c r="N127" s="34"/>
      <c r="O127" s="3"/>
      <c r="P127" s="3">
        <v>1</v>
      </c>
      <c r="Q127" s="3"/>
      <c r="R127" s="3"/>
      <c r="S127" s="3"/>
    </row>
    <row r="128" spans="1:19" ht="25" customHeight="1" x14ac:dyDescent="0.3">
      <c r="A128" s="3">
        <v>119</v>
      </c>
      <c r="B128" s="3" t="s">
        <v>1071</v>
      </c>
      <c r="C128" s="3" t="s">
        <v>1072</v>
      </c>
      <c r="D128" s="3" t="s">
        <v>1073</v>
      </c>
      <c r="E128" s="3">
        <v>24</v>
      </c>
      <c r="F128" s="3"/>
      <c r="G128" s="3" t="s">
        <v>24</v>
      </c>
      <c r="H128" s="3"/>
      <c r="I128" s="3"/>
      <c r="J128" s="25" t="s">
        <v>565</v>
      </c>
      <c r="K128" s="3"/>
      <c r="L128" s="3"/>
      <c r="M128" s="20">
        <v>200</v>
      </c>
      <c r="N128" s="34"/>
      <c r="O128" s="3"/>
      <c r="P128" s="3">
        <v>1</v>
      </c>
      <c r="Q128" s="3"/>
      <c r="R128" s="3"/>
      <c r="S128" s="3"/>
    </row>
    <row r="129" spans="1:19" ht="25" customHeight="1" x14ac:dyDescent="0.3">
      <c r="A129" s="3">
        <v>120</v>
      </c>
      <c r="B129" s="3" t="s">
        <v>1077</v>
      </c>
      <c r="C129" s="3" t="s">
        <v>1078</v>
      </c>
      <c r="D129" s="3" t="s">
        <v>1079</v>
      </c>
      <c r="E129" s="3">
        <v>28</v>
      </c>
      <c r="F129" s="3"/>
      <c r="G129" s="3" t="s">
        <v>24</v>
      </c>
      <c r="H129" s="3"/>
      <c r="I129" s="3"/>
      <c r="J129" s="25" t="s">
        <v>1063</v>
      </c>
      <c r="K129" s="3"/>
      <c r="L129" s="3"/>
      <c r="M129" s="20">
        <v>200</v>
      </c>
      <c r="N129" s="34"/>
      <c r="O129" s="3"/>
      <c r="P129" s="3">
        <v>1</v>
      </c>
      <c r="Q129" s="3"/>
      <c r="R129" s="3"/>
      <c r="S129" s="3"/>
    </row>
    <row r="130" spans="1:19" ht="25" customHeight="1" x14ac:dyDescent="0.3">
      <c r="A130" s="3">
        <v>121</v>
      </c>
      <c r="B130" s="3" t="s">
        <v>1088</v>
      </c>
      <c r="C130" s="3" t="s">
        <v>1089</v>
      </c>
      <c r="D130" s="3" t="s">
        <v>274</v>
      </c>
      <c r="E130" s="3">
        <v>33</v>
      </c>
      <c r="F130" s="3"/>
      <c r="G130" s="3" t="s">
        <v>24</v>
      </c>
      <c r="H130" s="3"/>
      <c r="I130" s="3"/>
      <c r="J130" s="25" t="s">
        <v>565</v>
      </c>
      <c r="K130" s="3"/>
      <c r="L130" s="3"/>
      <c r="M130" s="20">
        <v>200</v>
      </c>
      <c r="N130" s="34"/>
      <c r="O130" s="3"/>
      <c r="P130" s="3">
        <v>1</v>
      </c>
      <c r="Q130" s="3"/>
      <c r="R130" s="3"/>
      <c r="S130" s="3"/>
    </row>
    <row r="131" spans="1:19" ht="25" customHeight="1" x14ac:dyDescent="0.3">
      <c r="A131" s="3">
        <v>122</v>
      </c>
      <c r="B131" s="3" t="s">
        <v>1101</v>
      </c>
      <c r="C131" s="3" t="s">
        <v>91</v>
      </c>
      <c r="D131" s="3" t="s">
        <v>91</v>
      </c>
      <c r="E131" s="3">
        <v>27</v>
      </c>
      <c r="F131" s="3"/>
      <c r="G131" s="3" t="s">
        <v>36</v>
      </c>
      <c r="H131" s="3"/>
      <c r="I131" s="3"/>
      <c r="J131" s="25" t="s">
        <v>565</v>
      </c>
      <c r="K131" s="3"/>
      <c r="L131" s="3"/>
      <c r="M131" s="20">
        <v>200</v>
      </c>
      <c r="N131" s="34"/>
      <c r="O131" s="3"/>
      <c r="P131" s="3"/>
      <c r="Q131" s="3">
        <v>1</v>
      </c>
      <c r="R131" s="3"/>
      <c r="S131" s="3"/>
    </row>
    <row r="132" spans="1:19" ht="25" customHeight="1" x14ac:dyDescent="0.3">
      <c r="A132" s="3">
        <v>123</v>
      </c>
      <c r="B132" s="3" t="s">
        <v>1102</v>
      </c>
      <c r="C132" s="3" t="s">
        <v>1103</v>
      </c>
      <c r="D132" s="3" t="s">
        <v>59</v>
      </c>
      <c r="E132" s="3">
        <v>30</v>
      </c>
      <c r="F132" s="3"/>
      <c r="G132" s="3" t="s">
        <v>29</v>
      </c>
      <c r="H132" s="3"/>
      <c r="I132" s="3"/>
      <c r="J132" s="25" t="s">
        <v>565</v>
      </c>
      <c r="K132" s="3"/>
      <c r="L132" s="3"/>
      <c r="M132" s="20">
        <v>200</v>
      </c>
      <c r="N132" s="34"/>
      <c r="O132" s="3">
        <v>1</v>
      </c>
      <c r="P132" s="3"/>
      <c r="Q132" s="3"/>
      <c r="R132" s="3"/>
      <c r="S132" s="3"/>
    </row>
    <row r="133" spans="1:19" ht="25" customHeight="1" x14ac:dyDescent="0.3">
      <c r="A133" s="3">
        <v>124</v>
      </c>
      <c r="B133" s="3" t="s">
        <v>1104</v>
      </c>
      <c r="C133" s="3" t="s">
        <v>1105</v>
      </c>
      <c r="D133" s="3" t="s">
        <v>583</v>
      </c>
      <c r="E133" s="3">
        <v>30</v>
      </c>
      <c r="F133" s="3"/>
      <c r="G133" s="3" t="s">
        <v>64</v>
      </c>
      <c r="H133" s="3"/>
      <c r="I133" s="3"/>
      <c r="J133" s="25" t="s">
        <v>581</v>
      </c>
      <c r="K133" s="3"/>
      <c r="L133" s="3"/>
      <c r="M133" s="20">
        <v>200</v>
      </c>
      <c r="N133" s="34"/>
      <c r="O133" s="3"/>
      <c r="P133" s="3"/>
      <c r="Q133" s="3"/>
      <c r="R133" s="3">
        <v>1</v>
      </c>
      <c r="S133" s="3"/>
    </row>
    <row r="134" spans="1:19" ht="25" customHeight="1" x14ac:dyDescent="0.3">
      <c r="A134" s="3">
        <v>125</v>
      </c>
      <c r="B134" s="3" t="s">
        <v>1108</v>
      </c>
      <c r="C134" s="3" t="s">
        <v>28</v>
      </c>
      <c r="D134" s="3" t="s">
        <v>34</v>
      </c>
      <c r="E134" s="3">
        <v>25</v>
      </c>
      <c r="F134" s="3"/>
      <c r="G134" s="3" t="s">
        <v>36</v>
      </c>
      <c r="H134" s="3"/>
      <c r="I134" s="3"/>
      <c r="J134" s="25" t="s">
        <v>692</v>
      </c>
      <c r="K134" s="3"/>
      <c r="L134" s="3"/>
      <c r="M134" s="20">
        <v>200</v>
      </c>
      <c r="N134" s="34"/>
      <c r="O134" s="3"/>
      <c r="P134" s="3"/>
      <c r="Q134" s="3">
        <v>1</v>
      </c>
      <c r="R134" s="3"/>
      <c r="S134" s="3"/>
    </row>
    <row r="135" spans="1:19" ht="25" customHeight="1" x14ac:dyDescent="0.3">
      <c r="A135" s="3">
        <v>126</v>
      </c>
      <c r="B135" s="3" t="s">
        <v>1110</v>
      </c>
      <c r="C135" s="3" t="s">
        <v>706</v>
      </c>
      <c r="D135" s="3" t="s">
        <v>1109</v>
      </c>
      <c r="E135" s="3">
        <v>26</v>
      </c>
      <c r="F135" s="3"/>
      <c r="G135" s="3" t="s">
        <v>24</v>
      </c>
      <c r="H135" s="3"/>
      <c r="I135" s="3"/>
      <c r="J135" s="25" t="s">
        <v>1111</v>
      </c>
      <c r="K135" s="3"/>
      <c r="L135" s="3"/>
      <c r="M135" s="20">
        <v>200</v>
      </c>
      <c r="N135" s="34"/>
      <c r="O135" s="3"/>
      <c r="P135" s="3">
        <v>1</v>
      </c>
      <c r="Q135" s="3"/>
      <c r="R135" s="3"/>
      <c r="S135" s="3"/>
    </row>
    <row r="136" spans="1:19" ht="25" customHeight="1" x14ac:dyDescent="0.3">
      <c r="A136" s="3">
        <v>127</v>
      </c>
      <c r="B136" s="3" t="s">
        <v>1112</v>
      </c>
      <c r="C136" s="3" t="s">
        <v>1113</v>
      </c>
      <c r="D136" s="3" t="s">
        <v>339</v>
      </c>
      <c r="E136" s="3">
        <v>30</v>
      </c>
      <c r="F136" s="3"/>
      <c r="G136" s="3" t="s">
        <v>24</v>
      </c>
      <c r="H136" s="3"/>
      <c r="I136" s="3"/>
      <c r="J136" s="25" t="s">
        <v>1114</v>
      </c>
      <c r="K136" s="3"/>
      <c r="L136" s="3"/>
      <c r="M136" s="20">
        <v>200</v>
      </c>
      <c r="N136" s="34"/>
      <c r="O136" s="3"/>
      <c r="P136" s="3">
        <v>1</v>
      </c>
      <c r="Q136" s="3"/>
      <c r="R136" s="3"/>
      <c r="S136" s="3"/>
    </row>
    <row r="137" spans="1:19" ht="25" customHeight="1" x14ac:dyDescent="0.3">
      <c r="A137" s="3">
        <v>128</v>
      </c>
      <c r="B137" s="3" t="s">
        <v>1117</v>
      </c>
      <c r="C137" s="3" t="s">
        <v>1118</v>
      </c>
      <c r="D137" s="3" t="s">
        <v>599</v>
      </c>
      <c r="E137" s="3">
        <v>27</v>
      </c>
      <c r="F137" s="3"/>
      <c r="G137" s="3" t="s">
        <v>36</v>
      </c>
      <c r="H137" s="3"/>
      <c r="I137" s="3"/>
      <c r="J137" s="25" t="s">
        <v>1119</v>
      </c>
      <c r="K137" s="3"/>
      <c r="L137" s="3"/>
      <c r="M137" s="20">
        <v>200</v>
      </c>
      <c r="N137" s="34"/>
      <c r="O137" s="3"/>
      <c r="P137" s="3"/>
      <c r="Q137" s="3">
        <v>1</v>
      </c>
      <c r="R137" s="3"/>
      <c r="S137" s="3"/>
    </row>
    <row r="138" spans="1:19" ht="25" customHeight="1" x14ac:dyDescent="0.3">
      <c r="A138" s="3">
        <v>129</v>
      </c>
      <c r="B138" s="3" t="s">
        <v>1128</v>
      </c>
      <c r="C138" s="3" t="s">
        <v>375</v>
      </c>
      <c r="D138" s="3" t="s">
        <v>91</v>
      </c>
      <c r="E138" s="3">
        <v>29</v>
      </c>
      <c r="F138" s="3"/>
      <c r="G138" s="3" t="s">
        <v>36</v>
      </c>
      <c r="H138" s="3"/>
      <c r="I138" s="3"/>
      <c r="J138" s="24" t="s">
        <v>1129</v>
      </c>
      <c r="K138" s="3"/>
      <c r="L138" s="6"/>
      <c r="M138" s="20">
        <v>200</v>
      </c>
      <c r="N138" s="33"/>
      <c r="O138" s="3"/>
      <c r="P138" s="3"/>
      <c r="Q138" s="3">
        <v>1</v>
      </c>
      <c r="R138" s="3"/>
      <c r="S138" s="3"/>
    </row>
    <row r="139" spans="1:19" ht="25" customHeight="1" x14ac:dyDescent="0.3">
      <c r="A139" s="3">
        <v>130</v>
      </c>
      <c r="B139" s="3" t="s">
        <v>1139</v>
      </c>
      <c r="C139" s="3" t="s">
        <v>1140</v>
      </c>
      <c r="D139" s="3" t="s">
        <v>814</v>
      </c>
      <c r="E139" s="3">
        <v>23</v>
      </c>
      <c r="F139" s="3"/>
      <c r="G139" s="3" t="s">
        <v>24</v>
      </c>
      <c r="H139" s="3"/>
      <c r="I139" s="3"/>
      <c r="J139" s="25" t="s">
        <v>1141</v>
      </c>
      <c r="K139" s="3"/>
      <c r="L139" s="3"/>
      <c r="M139" s="20">
        <v>200</v>
      </c>
      <c r="N139" s="34"/>
      <c r="O139" s="3"/>
      <c r="P139" s="3">
        <v>1</v>
      </c>
      <c r="Q139" s="3"/>
      <c r="R139" s="3"/>
      <c r="S139" s="3"/>
    </row>
    <row r="140" spans="1:19" ht="25" customHeight="1" x14ac:dyDescent="0.3">
      <c r="A140" s="3">
        <v>131</v>
      </c>
      <c r="B140" s="3" t="s">
        <v>1144</v>
      </c>
      <c r="C140" s="3" t="s">
        <v>96</v>
      </c>
      <c r="D140" s="3" t="s">
        <v>814</v>
      </c>
      <c r="E140" s="3">
        <v>26</v>
      </c>
      <c r="F140" s="3"/>
      <c r="G140" s="3" t="s">
        <v>29</v>
      </c>
      <c r="H140" s="3"/>
      <c r="I140" s="3"/>
      <c r="J140" s="25" t="s">
        <v>1145</v>
      </c>
      <c r="K140" s="3"/>
      <c r="L140" s="3"/>
      <c r="M140" s="20">
        <v>200</v>
      </c>
      <c r="N140" s="34"/>
      <c r="O140" s="3">
        <v>1</v>
      </c>
      <c r="P140" s="3"/>
      <c r="Q140" s="3"/>
      <c r="R140" s="3"/>
      <c r="S140" s="3"/>
    </row>
    <row r="141" spans="1:19" ht="25" customHeight="1" x14ac:dyDescent="0.3">
      <c r="A141" s="3">
        <v>132</v>
      </c>
      <c r="B141" s="3" t="s">
        <v>1146</v>
      </c>
      <c r="C141" s="3" t="s">
        <v>86</v>
      </c>
      <c r="D141" s="3" t="s">
        <v>166</v>
      </c>
      <c r="E141" s="3">
        <v>27</v>
      </c>
      <c r="F141" s="3"/>
      <c r="G141" s="3" t="s">
        <v>24</v>
      </c>
      <c r="H141" s="3"/>
      <c r="I141" s="3"/>
      <c r="J141" s="25" t="s">
        <v>1147</v>
      </c>
      <c r="K141" s="3"/>
      <c r="L141" s="3"/>
      <c r="M141" s="20">
        <v>200</v>
      </c>
      <c r="N141" s="34"/>
      <c r="O141" s="3"/>
      <c r="P141" s="3">
        <v>1</v>
      </c>
      <c r="Q141" s="3"/>
      <c r="R141" s="3"/>
      <c r="S141" s="3"/>
    </row>
    <row r="142" spans="1:19" ht="25" customHeight="1" x14ac:dyDescent="0.3">
      <c r="A142" s="3">
        <v>133</v>
      </c>
      <c r="B142" s="3" t="s">
        <v>1152</v>
      </c>
      <c r="C142" s="3" t="s">
        <v>227</v>
      </c>
      <c r="D142" s="3" t="s">
        <v>318</v>
      </c>
      <c r="E142" s="3">
        <v>31</v>
      </c>
      <c r="F142" s="3"/>
      <c r="G142" s="3" t="s">
        <v>24</v>
      </c>
      <c r="H142" s="3"/>
      <c r="I142" s="3"/>
      <c r="J142" s="25" t="s">
        <v>1153</v>
      </c>
      <c r="K142" s="3"/>
      <c r="L142" s="3"/>
      <c r="M142" s="20">
        <v>200</v>
      </c>
      <c r="N142" s="34"/>
      <c r="O142" s="3"/>
      <c r="P142" s="3">
        <v>1</v>
      </c>
      <c r="Q142" s="3"/>
      <c r="R142" s="3"/>
      <c r="S142" s="3"/>
    </row>
    <row r="143" spans="1:19" ht="25" customHeight="1" x14ac:dyDescent="0.3">
      <c r="A143" s="3">
        <v>134</v>
      </c>
      <c r="B143" s="3" t="s">
        <v>1154</v>
      </c>
      <c r="C143" s="3" t="s">
        <v>1155</v>
      </c>
      <c r="D143" s="3" t="s">
        <v>464</v>
      </c>
      <c r="E143" s="3">
        <v>28</v>
      </c>
      <c r="F143" s="3" t="s">
        <v>23</v>
      </c>
      <c r="G143" s="3" t="s">
        <v>24</v>
      </c>
      <c r="H143" s="3"/>
      <c r="I143" s="3"/>
      <c r="J143" s="25" t="s">
        <v>1196</v>
      </c>
      <c r="K143" s="3"/>
      <c r="L143" s="3"/>
      <c r="M143" s="20">
        <v>200</v>
      </c>
      <c r="N143" s="34"/>
      <c r="O143" s="3"/>
      <c r="P143" s="3">
        <v>1</v>
      </c>
      <c r="Q143" s="3"/>
      <c r="R143" s="3"/>
      <c r="S143" s="3"/>
    </row>
    <row r="144" spans="1:19" ht="25" customHeight="1" x14ac:dyDescent="0.3">
      <c r="A144" s="3">
        <v>135</v>
      </c>
      <c r="B144" s="3" t="s">
        <v>1156</v>
      </c>
      <c r="C144" s="3" t="s">
        <v>60</v>
      </c>
      <c r="D144" s="3" t="s">
        <v>1157</v>
      </c>
      <c r="E144" s="3">
        <v>31</v>
      </c>
      <c r="F144" s="3" t="s">
        <v>23</v>
      </c>
      <c r="G144" s="3" t="s">
        <v>36</v>
      </c>
      <c r="H144" s="3"/>
      <c r="I144" s="3"/>
      <c r="J144" s="25" t="s">
        <v>1196</v>
      </c>
      <c r="K144" s="3"/>
      <c r="L144" s="3"/>
      <c r="M144" s="20">
        <v>200</v>
      </c>
      <c r="N144" s="34"/>
      <c r="O144" s="3"/>
      <c r="P144" s="3"/>
      <c r="Q144" s="3">
        <v>1</v>
      </c>
      <c r="R144" s="3"/>
      <c r="S144" s="3"/>
    </row>
    <row r="145" spans="1:19" ht="25" customHeight="1" x14ac:dyDescent="0.3">
      <c r="A145" s="3">
        <v>136</v>
      </c>
      <c r="B145" s="3" t="s">
        <v>1158</v>
      </c>
      <c r="C145" s="3" t="s">
        <v>137</v>
      </c>
      <c r="D145" s="3" t="s">
        <v>1159</v>
      </c>
      <c r="E145" s="3">
        <v>24</v>
      </c>
      <c r="F145" s="3" t="s">
        <v>23</v>
      </c>
      <c r="G145" s="3" t="s">
        <v>24</v>
      </c>
      <c r="H145" s="3"/>
      <c r="I145" s="3"/>
      <c r="J145" s="25" t="s">
        <v>1196</v>
      </c>
      <c r="K145" s="3"/>
      <c r="L145" s="3"/>
      <c r="M145" s="20">
        <v>200</v>
      </c>
      <c r="N145" s="34"/>
      <c r="O145" s="3"/>
      <c r="P145" s="3">
        <v>1</v>
      </c>
      <c r="Q145" s="3"/>
      <c r="R145" s="3"/>
      <c r="S145" s="3"/>
    </row>
    <row r="146" spans="1:19" ht="25" customHeight="1" x14ac:dyDescent="0.3">
      <c r="A146" s="3">
        <v>137</v>
      </c>
      <c r="B146" s="3" t="s">
        <v>1160</v>
      </c>
      <c r="C146" s="3" t="s">
        <v>143</v>
      </c>
      <c r="D146" s="3" t="s">
        <v>1161</v>
      </c>
      <c r="E146" s="3">
        <v>29</v>
      </c>
      <c r="F146" s="3" t="s">
        <v>23</v>
      </c>
      <c r="G146" s="3" t="s">
        <v>24</v>
      </c>
      <c r="H146" s="3"/>
      <c r="I146" s="3"/>
      <c r="J146" s="25" t="s">
        <v>1196</v>
      </c>
      <c r="K146" s="3"/>
      <c r="L146" s="3"/>
      <c r="M146" s="20">
        <v>200</v>
      </c>
      <c r="N146" s="34"/>
      <c r="O146" s="3"/>
      <c r="P146" s="3">
        <v>1</v>
      </c>
      <c r="Q146" s="3"/>
      <c r="R146" s="3"/>
      <c r="S146" s="3"/>
    </row>
    <row r="147" spans="1:19" ht="25" customHeight="1" x14ac:dyDescent="0.3">
      <c r="A147" s="3">
        <v>138</v>
      </c>
      <c r="B147" s="3" t="s">
        <v>1162</v>
      </c>
      <c r="C147" s="3" t="s">
        <v>186</v>
      </c>
      <c r="D147" s="3" t="s">
        <v>1163</v>
      </c>
      <c r="E147" s="3">
        <v>33</v>
      </c>
      <c r="F147" s="3" t="s">
        <v>23</v>
      </c>
      <c r="G147" s="3" t="s">
        <v>36</v>
      </c>
      <c r="H147" s="3"/>
      <c r="I147" s="3"/>
      <c r="J147" s="25" t="s">
        <v>1196</v>
      </c>
      <c r="K147" s="3"/>
      <c r="L147" s="3"/>
      <c r="M147" s="20">
        <v>200</v>
      </c>
      <c r="N147" s="34"/>
      <c r="O147" s="3"/>
      <c r="P147" s="3"/>
      <c r="Q147" s="3">
        <v>1</v>
      </c>
      <c r="R147" s="3"/>
      <c r="S147" s="3"/>
    </row>
    <row r="148" spans="1:19" ht="25" customHeight="1" x14ac:dyDescent="0.3">
      <c r="A148" s="3">
        <v>139</v>
      </c>
      <c r="B148" s="3" t="s">
        <v>1164</v>
      </c>
      <c r="C148" s="3" t="s">
        <v>466</v>
      </c>
      <c r="D148" s="3" t="s">
        <v>1163</v>
      </c>
      <c r="E148" s="3">
        <v>27</v>
      </c>
      <c r="F148" s="3" t="s">
        <v>23</v>
      </c>
      <c r="G148" s="3" t="s">
        <v>24</v>
      </c>
      <c r="H148" s="3"/>
      <c r="I148" s="3"/>
      <c r="J148" s="25" t="s">
        <v>1196</v>
      </c>
      <c r="K148" s="3"/>
      <c r="L148" s="3"/>
      <c r="M148" s="20">
        <v>200</v>
      </c>
      <c r="N148" s="34"/>
      <c r="O148" s="3"/>
      <c r="P148" s="3">
        <v>1</v>
      </c>
      <c r="Q148" s="3"/>
      <c r="R148" s="3"/>
      <c r="S148" s="3"/>
    </row>
    <row r="149" spans="1:19" ht="25" customHeight="1" x14ac:dyDescent="0.3">
      <c r="A149" s="3">
        <v>140</v>
      </c>
      <c r="B149" s="3" t="s">
        <v>1165</v>
      </c>
      <c r="C149" s="3" t="s">
        <v>411</v>
      </c>
      <c r="D149" s="3" t="s">
        <v>564</v>
      </c>
      <c r="E149" s="3">
        <v>34</v>
      </c>
      <c r="F149" s="3" t="s">
        <v>23</v>
      </c>
      <c r="G149" s="3" t="s">
        <v>24</v>
      </c>
      <c r="H149" s="3"/>
      <c r="I149" s="3"/>
      <c r="J149" s="25" t="s">
        <v>1196</v>
      </c>
      <c r="K149" s="3"/>
      <c r="L149" s="3"/>
      <c r="M149" s="20">
        <v>200</v>
      </c>
      <c r="N149" s="34"/>
      <c r="O149" s="3"/>
      <c r="P149" s="3">
        <v>1</v>
      </c>
      <c r="Q149" s="3"/>
      <c r="R149" s="3"/>
      <c r="S149" s="3"/>
    </row>
    <row r="150" spans="1:19" ht="25" customHeight="1" x14ac:dyDescent="0.3">
      <c r="A150" s="3">
        <v>141</v>
      </c>
      <c r="B150" s="3" t="s">
        <v>1166</v>
      </c>
      <c r="C150" s="3" t="s">
        <v>433</v>
      </c>
      <c r="D150" s="3" t="s">
        <v>86</v>
      </c>
      <c r="E150" s="3">
        <v>25</v>
      </c>
      <c r="F150" s="3" t="s">
        <v>23</v>
      </c>
      <c r="G150" s="3" t="s">
        <v>24</v>
      </c>
      <c r="H150" s="3"/>
      <c r="I150" s="3"/>
      <c r="J150" s="25" t="s">
        <v>1196</v>
      </c>
      <c r="K150" s="3"/>
      <c r="L150" s="3"/>
      <c r="M150" s="20">
        <v>200</v>
      </c>
      <c r="N150" s="34"/>
      <c r="O150" s="3"/>
      <c r="P150" s="3">
        <v>1</v>
      </c>
      <c r="Q150" s="3"/>
      <c r="R150" s="3"/>
      <c r="S150" s="3"/>
    </row>
    <row r="151" spans="1:19" ht="25" customHeight="1" x14ac:dyDescent="0.3">
      <c r="A151" s="3">
        <v>142</v>
      </c>
      <c r="B151" s="3" t="s">
        <v>1167</v>
      </c>
      <c r="C151" s="3" t="s">
        <v>1168</v>
      </c>
      <c r="D151" s="3" t="s">
        <v>1169</v>
      </c>
      <c r="E151" s="3">
        <v>26</v>
      </c>
      <c r="F151" s="3" t="s">
        <v>23</v>
      </c>
      <c r="G151" s="3" t="s">
        <v>1170</v>
      </c>
      <c r="H151" s="3"/>
      <c r="I151" s="3"/>
      <c r="J151" s="25" t="s">
        <v>1196</v>
      </c>
      <c r="K151" s="3"/>
      <c r="L151" s="3"/>
      <c r="M151" s="20">
        <v>200</v>
      </c>
      <c r="N151" s="34"/>
      <c r="O151" s="3"/>
      <c r="P151" s="3"/>
      <c r="Q151" s="3">
        <v>1</v>
      </c>
      <c r="R151" s="3"/>
      <c r="S151" s="3"/>
    </row>
    <row r="152" spans="1:19" ht="25" customHeight="1" x14ac:dyDescent="0.3">
      <c r="A152" s="3">
        <v>143</v>
      </c>
      <c r="B152" s="3" t="s">
        <v>1171</v>
      </c>
      <c r="C152" s="3" t="s">
        <v>1172</v>
      </c>
      <c r="D152" s="3" t="s">
        <v>1173</v>
      </c>
      <c r="E152" s="3">
        <v>23</v>
      </c>
      <c r="F152" s="3" t="s">
        <v>23</v>
      </c>
      <c r="G152" s="3" t="s">
        <v>24</v>
      </c>
      <c r="H152" s="3"/>
      <c r="I152" s="3"/>
      <c r="J152" s="25" t="s">
        <v>1196</v>
      </c>
      <c r="K152" s="3"/>
      <c r="L152" s="3"/>
      <c r="M152" s="20">
        <v>200</v>
      </c>
      <c r="N152" s="34"/>
      <c r="O152" s="3"/>
      <c r="P152" s="3">
        <v>1</v>
      </c>
      <c r="Q152" s="3"/>
      <c r="R152" s="3"/>
      <c r="S152" s="3"/>
    </row>
    <row r="153" spans="1:19" ht="25" customHeight="1" x14ac:dyDescent="0.3">
      <c r="A153" s="3">
        <v>144</v>
      </c>
      <c r="B153" s="3" t="s">
        <v>373</v>
      </c>
      <c r="C153" s="3" t="s">
        <v>1174</v>
      </c>
      <c r="D153" s="3" t="s">
        <v>1175</v>
      </c>
      <c r="E153" s="3">
        <v>34</v>
      </c>
      <c r="F153" s="3" t="s">
        <v>23</v>
      </c>
      <c r="G153" s="3" t="s">
        <v>29</v>
      </c>
      <c r="H153" s="3"/>
      <c r="I153" s="3"/>
      <c r="J153" s="25" t="s">
        <v>1196</v>
      </c>
      <c r="K153" s="3"/>
      <c r="L153" s="3"/>
      <c r="M153" s="20">
        <v>200</v>
      </c>
      <c r="N153" s="34"/>
      <c r="O153" s="3">
        <v>1</v>
      </c>
      <c r="P153" s="3"/>
      <c r="Q153" s="3"/>
      <c r="R153" s="3"/>
      <c r="S153" s="3"/>
    </row>
    <row r="154" spans="1:19" ht="25" customHeight="1" x14ac:dyDescent="0.3">
      <c r="A154" s="3">
        <v>145</v>
      </c>
      <c r="B154" s="3" t="s">
        <v>1176</v>
      </c>
      <c r="C154" s="3" t="s">
        <v>100</v>
      </c>
      <c r="D154" s="3" t="s">
        <v>1177</v>
      </c>
      <c r="E154" s="3">
        <v>26</v>
      </c>
      <c r="F154" s="3" t="s">
        <v>23</v>
      </c>
      <c r="G154" s="3" t="s">
        <v>29</v>
      </c>
      <c r="H154" s="3"/>
      <c r="I154" s="3"/>
      <c r="J154" s="25" t="s">
        <v>1196</v>
      </c>
      <c r="K154" s="3"/>
      <c r="L154" s="3"/>
      <c r="M154" s="20">
        <v>200</v>
      </c>
      <c r="N154" s="34"/>
      <c r="O154" s="3">
        <v>1</v>
      </c>
      <c r="P154" s="3"/>
      <c r="Q154" s="3"/>
      <c r="R154" s="3"/>
      <c r="S154" s="3"/>
    </row>
    <row r="155" spans="1:19" ht="25" customHeight="1" x14ac:dyDescent="0.3">
      <c r="A155" s="3">
        <v>146</v>
      </c>
      <c r="B155" s="3" t="s">
        <v>1178</v>
      </c>
      <c r="C155" s="3" t="s">
        <v>111</v>
      </c>
      <c r="D155" s="3" t="s">
        <v>339</v>
      </c>
      <c r="E155" s="3">
        <v>31</v>
      </c>
      <c r="F155" s="3" t="s">
        <v>23</v>
      </c>
      <c r="G155" s="3" t="s">
        <v>36</v>
      </c>
      <c r="H155" s="3"/>
      <c r="I155" s="3"/>
      <c r="J155" s="25" t="s">
        <v>1196</v>
      </c>
      <c r="K155" s="3"/>
      <c r="L155" s="3"/>
      <c r="M155" s="20">
        <v>200</v>
      </c>
      <c r="N155" s="34"/>
      <c r="O155" s="3"/>
      <c r="P155" s="3"/>
      <c r="Q155" s="3">
        <v>1</v>
      </c>
      <c r="R155" s="3"/>
      <c r="S155" s="3"/>
    </row>
    <row r="156" spans="1:19" ht="25" customHeight="1" x14ac:dyDescent="0.3">
      <c r="A156" s="3">
        <v>147</v>
      </c>
      <c r="B156" s="3" t="s">
        <v>1179</v>
      </c>
      <c r="C156" s="3" t="s">
        <v>203</v>
      </c>
      <c r="D156" s="3" t="s">
        <v>1180</v>
      </c>
      <c r="E156" s="3">
        <v>24</v>
      </c>
      <c r="F156" s="3" t="s">
        <v>23</v>
      </c>
      <c r="G156" s="3" t="s">
        <v>1181</v>
      </c>
      <c r="H156" s="3"/>
      <c r="I156" s="3"/>
      <c r="J156" s="25" t="s">
        <v>1196</v>
      </c>
      <c r="K156" s="3"/>
      <c r="L156" s="3"/>
      <c r="M156" s="20">
        <v>200</v>
      </c>
      <c r="N156" s="34"/>
      <c r="O156" s="3">
        <v>1</v>
      </c>
      <c r="P156" s="3"/>
      <c r="Q156" s="3"/>
      <c r="R156" s="3"/>
      <c r="S156" s="3"/>
    </row>
    <row r="157" spans="1:19" ht="25" customHeight="1" x14ac:dyDescent="0.3">
      <c r="A157" s="3">
        <v>148</v>
      </c>
      <c r="B157" s="3" t="s">
        <v>1182</v>
      </c>
      <c r="C157" s="3" t="s">
        <v>928</v>
      </c>
      <c r="D157" s="3" t="s">
        <v>859</v>
      </c>
      <c r="E157" s="3">
        <v>22</v>
      </c>
      <c r="F157" s="3" t="s">
        <v>23</v>
      </c>
      <c r="G157" s="3" t="s">
        <v>29</v>
      </c>
      <c r="H157" s="3"/>
      <c r="I157" s="3"/>
      <c r="J157" s="25" t="s">
        <v>1196</v>
      </c>
      <c r="K157" s="3"/>
      <c r="L157" s="3"/>
      <c r="M157" s="20">
        <v>200</v>
      </c>
      <c r="N157" s="34"/>
      <c r="O157" s="3">
        <v>1</v>
      </c>
      <c r="P157" s="3"/>
      <c r="Q157" s="3"/>
      <c r="R157" s="3"/>
      <c r="S157" s="3"/>
    </row>
    <row r="158" spans="1:19" ht="25" customHeight="1" x14ac:dyDescent="0.3">
      <c r="A158" s="3">
        <v>149</v>
      </c>
      <c r="B158" s="3" t="s">
        <v>1183</v>
      </c>
      <c r="C158" s="3" t="s">
        <v>1184</v>
      </c>
      <c r="D158" s="3" t="s">
        <v>91</v>
      </c>
      <c r="E158" s="3">
        <v>26</v>
      </c>
      <c r="F158" s="3" t="s">
        <v>23</v>
      </c>
      <c r="G158" s="3" t="s">
        <v>36</v>
      </c>
      <c r="H158" s="3"/>
      <c r="I158" s="3"/>
      <c r="J158" s="25" t="s">
        <v>1196</v>
      </c>
      <c r="K158" s="3"/>
      <c r="L158" s="3"/>
      <c r="M158" s="20">
        <v>200</v>
      </c>
      <c r="N158" s="34"/>
      <c r="O158" s="3"/>
      <c r="P158" s="3"/>
      <c r="Q158" s="3">
        <v>1</v>
      </c>
      <c r="R158" s="3"/>
      <c r="S158" s="3"/>
    </row>
    <row r="159" spans="1:19" ht="25" customHeight="1" x14ac:dyDescent="0.3">
      <c r="A159" s="3">
        <v>150</v>
      </c>
      <c r="B159" s="3" t="s">
        <v>1027</v>
      </c>
      <c r="C159" s="3" t="s">
        <v>1185</v>
      </c>
      <c r="D159" s="3" t="s">
        <v>1186</v>
      </c>
      <c r="E159" s="3">
        <v>23</v>
      </c>
      <c r="F159" s="3" t="s">
        <v>23</v>
      </c>
      <c r="G159" s="3" t="s">
        <v>36</v>
      </c>
      <c r="H159" s="3"/>
      <c r="I159" s="3"/>
      <c r="J159" s="25" t="s">
        <v>1196</v>
      </c>
      <c r="K159" s="3"/>
      <c r="L159" s="3"/>
      <c r="M159" s="20">
        <v>200</v>
      </c>
      <c r="N159" s="34"/>
      <c r="O159" s="3"/>
      <c r="P159" s="3"/>
      <c r="Q159" s="3">
        <v>1</v>
      </c>
      <c r="R159" s="3"/>
      <c r="S159" s="3"/>
    </row>
    <row r="160" spans="1:19" ht="25" customHeight="1" x14ac:dyDescent="0.3">
      <c r="A160" s="3">
        <v>151</v>
      </c>
      <c r="B160" s="3" t="s">
        <v>1187</v>
      </c>
      <c r="C160" s="3" t="s">
        <v>227</v>
      </c>
      <c r="D160" s="3" t="s">
        <v>1188</v>
      </c>
      <c r="E160" s="3">
        <v>27</v>
      </c>
      <c r="F160" s="3" t="s">
        <v>23</v>
      </c>
      <c r="G160" s="3" t="s">
        <v>29</v>
      </c>
      <c r="H160" s="3"/>
      <c r="I160" s="3"/>
      <c r="J160" s="25" t="s">
        <v>1196</v>
      </c>
      <c r="K160" s="3"/>
      <c r="L160" s="3"/>
      <c r="M160" s="20">
        <v>200</v>
      </c>
      <c r="N160" s="34"/>
      <c r="O160" s="3">
        <v>1</v>
      </c>
      <c r="P160" s="3"/>
      <c r="Q160" s="3"/>
      <c r="R160" s="3"/>
      <c r="S160" s="3"/>
    </row>
    <row r="161" spans="1:19" ht="25" customHeight="1" x14ac:dyDescent="0.3">
      <c r="A161" s="3">
        <v>152</v>
      </c>
      <c r="B161" s="3" t="s">
        <v>1189</v>
      </c>
      <c r="C161" s="3" t="s">
        <v>85</v>
      </c>
      <c r="D161" s="3" t="s">
        <v>736</v>
      </c>
      <c r="E161" s="3">
        <v>21</v>
      </c>
      <c r="F161" s="3" t="s">
        <v>23</v>
      </c>
      <c r="G161" s="3" t="s">
        <v>24</v>
      </c>
      <c r="H161" s="3"/>
      <c r="I161" s="3"/>
      <c r="J161" s="25" t="s">
        <v>1196</v>
      </c>
      <c r="K161" s="3"/>
      <c r="L161" s="3"/>
      <c r="M161" s="20">
        <v>200</v>
      </c>
      <c r="N161" s="34"/>
      <c r="O161" s="3"/>
      <c r="P161" s="3">
        <v>1</v>
      </c>
      <c r="Q161" s="3"/>
      <c r="R161" s="3"/>
      <c r="S161" s="3"/>
    </row>
    <row r="162" spans="1:19" ht="25" customHeight="1" x14ac:dyDescent="0.3">
      <c r="A162" s="3">
        <v>153</v>
      </c>
      <c r="B162" s="3" t="s">
        <v>1190</v>
      </c>
      <c r="C162" s="3" t="s">
        <v>1191</v>
      </c>
      <c r="D162" s="3" t="s">
        <v>21</v>
      </c>
      <c r="E162" s="3">
        <v>22</v>
      </c>
      <c r="F162" s="3" t="s">
        <v>23</v>
      </c>
      <c r="G162" s="3" t="s">
        <v>29</v>
      </c>
      <c r="H162" s="3"/>
      <c r="I162" s="3"/>
      <c r="J162" s="25" t="s">
        <v>1196</v>
      </c>
      <c r="K162" s="3"/>
      <c r="L162" s="3"/>
      <c r="M162" s="20"/>
      <c r="N162" s="34"/>
      <c r="O162" s="3">
        <v>1</v>
      </c>
      <c r="P162" s="3"/>
      <c r="Q162" s="3"/>
      <c r="R162" s="3"/>
      <c r="S162" s="3"/>
    </row>
    <row r="163" spans="1:19" ht="25" customHeight="1" x14ac:dyDescent="0.3">
      <c r="A163" s="3">
        <v>154</v>
      </c>
      <c r="B163" s="3" t="s">
        <v>1192</v>
      </c>
      <c r="C163" s="3" t="s">
        <v>515</v>
      </c>
      <c r="D163" s="3" t="s">
        <v>227</v>
      </c>
      <c r="E163" s="3">
        <v>23</v>
      </c>
      <c r="F163" s="3" t="s">
        <v>23</v>
      </c>
      <c r="G163" s="3" t="s">
        <v>29</v>
      </c>
      <c r="H163" s="3"/>
      <c r="I163" s="3"/>
      <c r="J163" s="25" t="s">
        <v>1196</v>
      </c>
      <c r="K163" s="3"/>
      <c r="L163" s="3"/>
      <c r="M163" s="20"/>
      <c r="N163" s="34"/>
      <c r="O163" s="3">
        <v>1</v>
      </c>
      <c r="P163" s="3"/>
      <c r="Q163" s="3"/>
      <c r="R163" s="3"/>
      <c r="S163" s="3"/>
    </row>
    <row r="164" spans="1:19" ht="25" customHeight="1" x14ac:dyDescent="0.3">
      <c r="A164" s="3">
        <v>155</v>
      </c>
      <c r="B164" s="3" t="s">
        <v>1193</v>
      </c>
      <c r="C164" s="3" t="s">
        <v>1194</v>
      </c>
      <c r="D164" s="3" t="s">
        <v>1195</v>
      </c>
      <c r="E164" s="3">
        <v>19</v>
      </c>
      <c r="F164" s="3" t="s">
        <v>23</v>
      </c>
      <c r="G164" s="3" t="s">
        <v>24</v>
      </c>
      <c r="H164" s="3"/>
      <c r="I164" s="3"/>
      <c r="J164" s="25" t="s">
        <v>1196</v>
      </c>
      <c r="K164" s="3"/>
      <c r="L164" s="3"/>
      <c r="M164" s="20"/>
      <c r="N164" s="34"/>
      <c r="O164" s="3"/>
      <c r="P164" s="3">
        <v>1</v>
      </c>
      <c r="Q164" s="3"/>
      <c r="R164" s="3"/>
      <c r="S164" s="3"/>
    </row>
    <row r="165" spans="1:19" ht="25" customHeight="1" x14ac:dyDescent="0.3">
      <c r="A165" s="3">
        <v>156</v>
      </c>
      <c r="B165" s="3" t="s">
        <v>1298</v>
      </c>
      <c r="C165" s="3" t="s">
        <v>111</v>
      </c>
      <c r="D165" s="3" t="s">
        <v>1299</v>
      </c>
      <c r="E165" s="3">
        <v>25</v>
      </c>
      <c r="F165" s="3" t="s">
        <v>23</v>
      </c>
      <c r="G165" s="3" t="s">
        <v>24</v>
      </c>
      <c r="H165" s="3"/>
      <c r="I165" s="3"/>
      <c r="J165" s="25" t="s">
        <v>1346</v>
      </c>
      <c r="K165" s="3"/>
      <c r="L165" s="3"/>
      <c r="M165" s="20"/>
      <c r="N165" s="34"/>
      <c r="O165" s="3"/>
      <c r="P165" s="3">
        <v>1</v>
      </c>
      <c r="Q165" s="3"/>
      <c r="R165" s="3"/>
      <c r="S165" s="3"/>
    </row>
    <row r="166" spans="1:19" ht="25" customHeight="1" x14ac:dyDescent="0.3">
      <c r="A166" s="3">
        <v>157</v>
      </c>
      <c r="B166" s="3" t="s">
        <v>1300</v>
      </c>
      <c r="C166" s="3" t="s">
        <v>940</v>
      </c>
      <c r="D166" s="3" t="s">
        <v>111</v>
      </c>
      <c r="E166" s="3">
        <v>25</v>
      </c>
      <c r="F166" s="3" t="s">
        <v>23</v>
      </c>
      <c r="G166" s="3" t="s">
        <v>36</v>
      </c>
      <c r="H166" s="3"/>
      <c r="I166" s="3"/>
      <c r="J166" s="25" t="s">
        <v>1347</v>
      </c>
      <c r="K166" s="3"/>
      <c r="L166" s="3"/>
      <c r="M166" s="20"/>
      <c r="N166" s="34"/>
      <c r="O166" s="3"/>
      <c r="P166" s="3"/>
      <c r="Q166" s="3">
        <v>1</v>
      </c>
      <c r="R166" s="3"/>
      <c r="S166" s="3"/>
    </row>
    <row r="167" spans="1:19" ht="25" customHeight="1" x14ac:dyDescent="0.3">
      <c r="A167" s="3">
        <v>158</v>
      </c>
      <c r="B167" s="3" t="s">
        <v>1301</v>
      </c>
      <c r="C167" s="3" t="s">
        <v>235</v>
      </c>
      <c r="D167" s="3" t="s">
        <v>1302</v>
      </c>
      <c r="E167" s="3">
        <v>26</v>
      </c>
      <c r="F167" s="3" t="s">
        <v>23</v>
      </c>
      <c r="G167" s="3" t="s">
        <v>29</v>
      </c>
      <c r="H167" s="3"/>
      <c r="I167" s="3"/>
      <c r="J167" s="25" t="s">
        <v>406</v>
      </c>
      <c r="K167" s="3"/>
      <c r="L167" s="3"/>
      <c r="M167" s="20"/>
      <c r="N167" s="34"/>
      <c r="O167" s="3">
        <v>1</v>
      </c>
      <c r="P167" s="3"/>
      <c r="Q167" s="3"/>
      <c r="R167" s="3"/>
      <c r="S167" s="3"/>
    </row>
    <row r="168" spans="1:19" ht="25" customHeight="1" x14ac:dyDescent="0.3">
      <c r="A168" s="3">
        <v>159</v>
      </c>
      <c r="B168" s="3" t="s">
        <v>1303</v>
      </c>
      <c r="C168" s="3" t="s">
        <v>595</v>
      </c>
      <c r="D168" s="3" t="s">
        <v>1304</v>
      </c>
      <c r="E168" s="3">
        <v>26</v>
      </c>
      <c r="F168" s="3" t="s">
        <v>23</v>
      </c>
      <c r="G168" s="3" t="s">
        <v>29</v>
      </c>
      <c r="H168" s="3"/>
      <c r="I168" s="3"/>
      <c r="J168" s="25" t="s">
        <v>406</v>
      </c>
      <c r="K168" s="3"/>
      <c r="L168" s="3"/>
      <c r="M168" s="20"/>
      <c r="N168" s="34"/>
      <c r="O168" s="3">
        <v>1</v>
      </c>
      <c r="P168" s="3"/>
      <c r="Q168" s="3"/>
      <c r="R168" s="3"/>
      <c r="S168" s="3"/>
    </row>
    <row r="169" spans="1:19" ht="25" customHeight="1" x14ac:dyDescent="0.3">
      <c r="A169" s="3">
        <v>160</v>
      </c>
      <c r="B169" s="3" t="s">
        <v>1305</v>
      </c>
      <c r="C169" s="3" t="s">
        <v>1306</v>
      </c>
      <c r="D169" s="3" t="s">
        <v>154</v>
      </c>
      <c r="E169" s="3">
        <v>24</v>
      </c>
      <c r="F169" s="3" t="s">
        <v>23</v>
      </c>
      <c r="G169" s="3" t="s">
        <v>24</v>
      </c>
      <c r="H169" s="3"/>
      <c r="I169" s="3"/>
      <c r="J169" s="25" t="s">
        <v>1348</v>
      </c>
      <c r="K169" s="3"/>
      <c r="L169" s="3"/>
      <c r="M169" s="20"/>
      <c r="N169" s="34"/>
      <c r="O169" s="3"/>
      <c r="P169" s="3">
        <v>1</v>
      </c>
      <c r="Q169" s="3"/>
      <c r="R169" s="3"/>
      <c r="S169" s="3"/>
    </row>
    <row r="170" spans="1:19" ht="25" customHeight="1" x14ac:dyDescent="0.3">
      <c r="A170" s="3">
        <v>161</v>
      </c>
      <c r="B170" s="3" t="s">
        <v>1307</v>
      </c>
      <c r="C170" s="3" t="s">
        <v>1248</v>
      </c>
      <c r="D170" s="3" t="s">
        <v>368</v>
      </c>
      <c r="E170" s="3">
        <v>29</v>
      </c>
      <c r="F170" s="3" t="s">
        <v>23</v>
      </c>
      <c r="G170" s="3" t="s">
        <v>29</v>
      </c>
      <c r="H170" s="3"/>
      <c r="I170" s="3"/>
      <c r="J170" s="25" t="s">
        <v>1349</v>
      </c>
      <c r="K170" s="3"/>
      <c r="L170" s="3"/>
      <c r="M170" s="20"/>
      <c r="N170" s="34"/>
      <c r="O170" s="3">
        <v>1</v>
      </c>
      <c r="P170" s="3"/>
      <c r="Q170" s="3"/>
      <c r="R170" s="3"/>
      <c r="S170" s="3"/>
    </row>
    <row r="171" spans="1:19" ht="25" customHeight="1" x14ac:dyDescent="0.3">
      <c r="A171" s="3">
        <v>162</v>
      </c>
      <c r="B171" s="3" t="s">
        <v>1308</v>
      </c>
      <c r="C171" s="3" t="s">
        <v>1309</v>
      </c>
      <c r="D171" s="3" t="s">
        <v>176</v>
      </c>
      <c r="E171" s="3">
        <v>25</v>
      </c>
      <c r="F171" s="3" t="s">
        <v>23</v>
      </c>
      <c r="G171" s="3" t="s">
        <v>24</v>
      </c>
      <c r="H171" s="3"/>
      <c r="I171" s="3"/>
      <c r="J171" s="25" t="s">
        <v>1350</v>
      </c>
      <c r="K171" s="3"/>
      <c r="L171" s="3"/>
      <c r="M171" s="20"/>
      <c r="N171" s="34"/>
      <c r="O171" s="3"/>
      <c r="P171" s="3">
        <v>1</v>
      </c>
      <c r="Q171" s="3"/>
      <c r="R171" s="3"/>
      <c r="S171" s="3"/>
    </row>
    <row r="172" spans="1:19" ht="25" customHeight="1" x14ac:dyDescent="0.3">
      <c r="A172" s="3">
        <v>163</v>
      </c>
      <c r="B172" s="3" t="s">
        <v>1310</v>
      </c>
      <c r="C172" s="3" t="s">
        <v>111</v>
      </c>
      <c r="D172" s="3" t="s">
        <v>1311</v>
      </c>
      <c r="E172" s="3">
        <v>29</v>
      </c>
      <c r="F172" s="3" t="s">
        <v>23</v>
      </c>
      <c r="G172" s="3" t="s">
        <v>24</v>
      </c>
      <c r="H172" s="3"/>
      <c r="I172" s="3"/>
      <c r="J172" s="25" t="s">
        <v>1348</v>
      </c>
      <c r="K172" s="3"/>
      <c r="L172" s="3"/>
      <c r="M172" s="20"/>
      <c r="N172" s="34"/>
      <c r="O172" s="3"/>
      <c r="P172" s="3">
        <v>1</v>
      </c>
      <c r="Q172" s="3"/>
      <c r="R172" s="3"/>
      <c r="S172" s="3"/>
    </row>
    <row r="173" spans="1:19" ht="25" customHeight="1" x14ac:dyDescent="0.3">
      <c r="A173" s="3">
        <v>164</v>
      </c>
      <c r="B173" s="3" t="s">
        <v>1312</v>
      </c>
      <c r="C173" s="3" t="s">
        <v>433</v>
      </c>
      <c r="D173" s="3" t="s">
        <v>201</v>
      </c>
      <c r="E173" s="3">
        <v>27</v>
      </c>
      <c r="F173" s="3" t="s">
        <v>23</v>
      </c>
      <c r="G173" s="3" t="s">
        <v>29</v>
      </c>
      <c r="H173" s="3"/>
      <c r="I173" s="3"/>
      <c r="J173" s="25" t="s">
        <v>1351</v>
      </c>
      <c r="K173" s="3"/>
      <c r="L173" s="3"/>
      <c r="M173" s="20"/>
      <c r="N173" s="34"/>
      <c r="O173" s="3">
        <v>1</v>
      </c>
      <c r="P173" s="3"/>
      <c r="Q173" s="3"/>
      <c r="R173" s="3"/>
      <c r="S173" s="3"/>
    </row>
    <row r="174" spans="1:19" ht="25" customHeight="1" x14ac:dyDescent="0.3">
      <c r="A174" s="3">
        <v>165</v>
      </c>
      <c r="B174" s="3" t="s">
        <v>1313</v>
      </c>
      <c r="C174" s="3" t="s">
        <v>795</v>
      </c>
      <c r="D174" s="3" t="s">
        <v>1314</v>
      </c>
      <c r="E174" s="3">
        <v>34</v>
      </c>
      <c r="F174" s="3" t="s">
        <v>23</v>
      </c>
      <c r="G174" s="3" t="s">
        <v>24</v>
      </c>
      <c r="H174" s="3"/>
      <c r="I174" s="3"/>
      <c r="J174" s="25" t="s">
        <v>1352</v>
      </c>
      <c r="K174" s="3"/>
      <c r="L174" s="3"/>
      <c r="M174" s="20"/>
      <c r="N174" s="34"/>
      <c r="O174" s="3"/>
      <c r="P174" s="3">
        <v>1</v>
      </c>
      <c r="Q174" s="3"/>
      <c r="R174" s="3"/>
      <c r="S174" s="3"/>
    </row>
    <row r="175" spans="1:19" ht="25" customHeight="1" x14ac:dyDescent="0.3">
      <c r="A175" s="3">
        <v>166</v>
      </c>
      <c r="B175" s="3" t="s">
        <v>1315</v>
      </c>
      <c r="C175" s="3" t="s">
        <v>186</v>
      </c>
      <c r="D175" s="3" t="s">
        <v>324</v>
      </c>
      <c r="E175" s="3">
        <v>22</v>
      </c>
      <c r="F175" s="3" t="s">
        <v>23</v>
      </c>
      <c r="G175" s="3" t="s">
        <v>36</v>
      </c>
      <c r="H175" s="3"/>
      <c r="I175" s="3"/>
      <c r="J175" s="25" t="s">
        <v>1352</v>
      </c>
      <c r="K175" s="3"/>
      <c r="L175" s="3"/>
      <c r="M175" s="20"/>
      <c r="N175" s="34"/>
      <c r="O175" s="3"/>
      <c r="P175" s="3"/>
      <c r="Q175" s="3">
        <v>1</v>
      </c>
      <c r="R175" s="3"/>
      <c r="S175" s="3"/>
    </row>
    <row r="176" spans="1:19" ht="25" customHeight="1" x14ac:dyDescent="0.3">
      <c r="A176" s="3">
        <v>167</v>
      </c>
      <c r="B176" s="3" t="s">
        <v>1316</v>
      </c>
      <c r="C176" s="3" t="s">
        <v>1317</v>
      </c>
      <c r="D176" s="3" t="s">
        <v>40</v>
      </c>
      <c r="E176" s="3">
        <v>31</v>
      </c>
      <c r="F176" s="3" t="s">
        <v>23</v>
      </c>
      <c r="G176" s="3" t="s">
        <v>24</v>
      </c>
      <c r="H176" s="3"/>
      <c r="I176" s="3"/>
      <c r="J176" s="25" t="s">
        <v>571</v>
      </c>
      <c r="K176" s="3"/>
      <c r="L176" s="3"/>
      <c r="M176" s="20"/>
      <c r="N176" s="34"/>
      <c r="O176" s="3"/>
      <c r="P176" s="3">
        <v>1</v>
      </c>
      <c r="Q176" s="3"/>
      <c r="R176" s="3"/>
      <c r="S176" s="3"/>
    </row>
    <row r="177" spans="1:19" ht="25" customHeight="1" x14ac:dyDescent="0.3">
      <c r="A177" s="3">
        <v>168</v>
      </c>
      <c r="B177" s="3" t="s">
        <v>118</v>
      </c>
      <c r="C177" s="3" t="s">
        <v>134</v>
      </c>
      <c r="D177" s="3" t="s">
        <v>227</v>
      </c>
      <c r="E177" s="3">
        <v>26</v>
      </c>
      <c r="F177" s="3" t="s">
        <v>23</v>
      </c>
      <c r="G177" s="3" t="s">
        <v>24</v>
      </c>
      <c r="H177" s="3"/>
      <c r="I177" s="3"/>
      <c r="J177" s="3" t="s">
        <v>880</v>
      </c>
      <c r="K177" s="3"/>
      <c r="L177" s="3"/>
      <c r="M177" s="20"/>
      <c r="N177" s="34"/>
      <c r="O177" s="3"/>
      <c r="P177" s="3">
        <v>1</v>
      </c>
      <c r="Q177" s="3"/>
      <c r="R177" s="3"/>
      <c r="S177" s="3"/>
    </row>
    <row r="178" spans="1:19" ht="25" customHeight="1" x14ac:dyDescent="0.3">
      <c r="A178" s="3">
        <v>169</v>
      </c>
      <c r="B178" s="3" t="s">
        <v>1318</v>
      </c>
      <c r="C178" s="3" t="s">
        <v>840</v>
      </c>
      <c r="D178" s="3" t="s">
        <v>228</v>
      </c>
      <c r="E178" s="3">
        <v>27</v>
      </c>
      <c r="F178" s="3" t="s">
        <v>23</v>
      </c>
      <c r="G178" s="3" t="s">
        <v>29</v>
      </c>
      <c r="H178" s="3"/>
      <c r="I178" s="3"/>
      <c r="J178" s="3" t="s">
        <v>1353</v>
      </c>
      <c r="K178" s="3"/>
      <c r="L178" s="3"/>
      <c r="M178" s="20"/>
      <c r="N178" s="34"/>
      <c r="O178" s="3">
        <v>1</v>
      </c>
      <c r="P178" s="3"/>
      <c r="Q178" s="3"/>
      <c r="R178" s="3"/>
      <c r="S178" s="3"/>
    </row>
    <row r="179" spans="1:19" ht="25" customHeight="1" x14ac:dyDescent="0.3">
      <c r="A179" s="3">
        <v>170</v>
      </c>
      <c r="B179" s="3" t="s">
        <v>1319</v>
      </c>
      <c r="C179" s="3" t="s">
        <v>186</v>
      </c>
      <c r="D179" s="3" t="s">
        <v>186</v>
      </c>
      <c r="E179" s="3">
        <v>27</v>
      </c>
      <c r="F179" s="3" t="s">
        <v>23</v>
      </c>
      <c r="G179" s="3" t="s">
        <v>29</v>
      </c>
      <c r="H179" s="3"/>
      <c r="I179" s="3"/>
      <c r="J179" s="3" t="s">
        <v>1354</v>
      </c>
      <c r="K179" s="3"/>
      <c r="L179" s="3"/>
      <c r="M179" s="20"/>
      <c r="N179" s="34"/>
      <c r="O179" s="3">
        <v>1</v>
      </c>
      <c r="P179" s="3"/>
      <c r="Q179" s="3"/>
      <c r="R179" s="3"/>
      <c r="S179" s="3"/>
    </row>
    <row r="180" spans="1:19" ht="25" customHeight="1" x14ac:dyDescent="0.3">
      <c r="A180" s="3">
        <v>171</v>
      </c>
      <c r="B180" s="3" t="s">
        <v>1320</v>
      </c>
      <c r="C180" s="3" t="s">
        <v>34</v>
      </c>
      <c r="D180" s="3" t="s">
        <v>228</v>
      </c>
      <c r="E180" s="3">
        <v>26</v>
      </c>
      <c r="F180" s="3" t="s">
        <v>23</v>
      </c>
      <c r="G180" s="3" t="s">
        <v>24</v>
      </c>
      <c r="H180" s="3"/>
      <c r="I180" s="3"/>
      <c r="J180" s="3" t="s">
        <v>1355</v>
      </c>
      <c r="K180" s="3"/>
      <c r="L180" s="3"/>
      <c r="M180" s="20"/>
      <c r="N180" s="34"/>
      <c r="O180" s="3"/>
      <c r="P180" s="3">
        <v>1</v>
      </c>
      <c r="Q180" s="3"/>
      <c r="R180" s="3"/>
      <c r="S180" s="3"/>
    </row>
    <row r="181" spans="1:19" ht="25" customHeight="1" x14ac:dyDescent="0.3">
      <c r="A181" s="3">
        <v>172</v>
      </c>
      <c r="B181" s="3" t="s">
        <v>1321</v>
      </c>
      <c r="C181" s="3" t="s">
        <v>189</v>
      </c>
      <c r="D181" s="3" t="s">
        <v>174</v>
      </c>
      <c r="E181" s="3">
        <v>27</v>
      </c>
      <c r="F181" s="3" t="s">
        <v>23</v>
      </c>
      <c r="G181" s="3" t="s">
        <v>64</v>
      </c>
      <c r="H181" s="3"/>
      <c r="I181" s="3"/>
      <c r="J181" s="3" t="s">
        <v>920</v>
      </c>
      <c r="K181" s="3"/>
      <c r="L181" s="3"/>
      <c r="M181" s="20"/>
      <c r="N181" s="34"/>
      <c r="O181" s="3"/>
      <c r="P181" s="3"/>
      <c r="Q181" s="3"/>
      <c r="R181" s="3">
        <v>1</v>
      </c>
      <c r="S181" s="3"/>
    </row>
    <row r="182" spans="1:19" ht="25" customHeight="1" x14ac:dyDescent="0.3">
      <c r="A182" s="3">
        <v>173</v>
      </c>
      <c r="B182" s="3" t="s">
        <v>1027</v>
      </c>
      <c r="C182" s="3" t="s">
        <v>214</v>
      </c>
      <c r="D182" s="3" t="s">
        <v>111</v>
      </c>
      <c r="E182" s="3">
        <v>27</v>
      </c>
      <c r="F182" s="3" t="s">
        <v>23</v>
      </c>
      <c r="G182" s="3" t="s">
        <v>24</v>
      </c>
      <c r="H182" s="3"/>
      <c r="I182" s="3"/>
      <c r="J182" s="3" t="s">
        <v>378</v>
      </c>
      <c r="K182" s="3"/>
      <c r="L182" s="3"/>
      <c r="M182" s="20"/>
      <c r="N182" s="34"/>
      <c r="O182" s="3"/>
      <c r="P182" s="3">
        <v>1</v>
      </c>
      <c r="Q182" s="3"/>
      <c r="R182" s="3"/>
      <c r="S182" s="3"/>
    </row>
    <row r="183" spans="1:19" ht="25" customHeight="1" x14ac:dyDescent="0.3">
      <c r="A183" s="3">
        <v>174</v>
      </c>
      <c r="B183" s="3" t="s">
        <v>1322</v>
      </c>
      <c r="C183" s="3" t="s">
        <v>201</v>
      </c>
      <c r="D183" s="3" t="s">
        <v>922</v>
      </c>
      <c r="E183" s="3">
        <v>27</v>
      </c>
      <c r="F183" s="3" t="s">
        <v>23</v>
      </c>
      <c r="G183" s="3" t="s">
        <v>24</v>
      </c>
      <c r="H183" s="3"/>
      <c r="I183" s="3"/>
      <c r="J183" s="3" t="s">
        <v>565</v>
      </c>
      <c r="K183" s="3"/>
      <c r="L183" s="3"/>
      <c r="M183" s="20"/>
      <c r="N183" s="34"/>
      <c r="O183" s="3"/>
      <c r="P183" s="3">
        <v>1</v>
      </c>
      <c r="Q183" s="3"/>
      <c r="R183" s="3"/>
      <c r="S183" s="3"/>
    </row>
    <row r="184" spans="1:19" ht="25" customHeight="1" x14ac:dyDescent="0.3">
      <c r="A184" s="3">
        <v>175</v>
      </c>
      <c r="B184" s="3" t="s">
        <v>1323</v>
      </c>
      <c r="C184" s="3" t="s">
        <v>1288</v>
      </c>
      <c r="D184" s="3" t="s">
        <v>1324</v>
      </c>
      <c r="E184" s="3">
        <v>29</v>
      </c>
      <c r="F184" s="3" t="s">
        <v>23</v>
      </c>
      <c r="G184" s="3" t="s">
        <v>24</v>
      </c>
      <c r="H184" s="3"/>
      <c r="I184" s="3"/>
      <c r="J184" s="3" t="s">
        <v>565</v>
      </c>
      <c r="K184" s="3"/>
      <c r="L184" s="3"/>
      <c r="M184" s="20"/>
      <c r="N184" s="34"/>
      <c r="O184" s="3"/>
      <c r="P184" s="3">
        <v>1</v>
      </c>
      <c r="Q184" s="3"/>
      <c r="R184" s="3"/>
      <c r="S184" s="3"/>
    </row>
    <row r="185" spans="1:19" ht="25" customHeight="1" x14ac:dyDescent="0.3">
      <c r="A185" s="3">
        <v>176</v>
      </c>
      <c r="B185" s="3" t="s">
        <v>1325</v>
      </c>
      <c r="C185" s="3" t="s">
        <v>227</v>
      </c>
      <c r="D185" s="3" t="s">
        <v>160</v>
      </c>
      <c r="E185" s="3">
        <v>26</v>
      </c>
      <c r="F185" s="3" t="s">
        <v>23</v>
      </c>
      <c r="G185" s="3" t="s">
        <v>29</v>
      </c>
      <c r="H185" s="3"/>
      <c r="I185" s="3"/>
      <c r="J185" s="3" t="s">
        <v>406</v>
      </c>
      <c r="K185" s="3"/>
      <c r="L185" s="3"/>
      <c r="M185" s="20"/>
      <c r="N185" s="34"/>
      <c r="O185" s="3">
        <v>1</v>
      </c>
      <c r="P185" s="3"/>
      <c r="Q185" s="3"/>
      <c r="R185" s="3"/>
      <c r="S185" s="3"/>
    </row>
    <row r="186" spans="1:19" ht="25" customHeight="1" x14ac:dyDescent="0.3">
      <c r="A186" s="3">
        <v>177</v>
      </c>
      <c r="B186" s="3" t="s">
        <v>1326</v>
      </c>
      <c r="C186" s="3" t="s">
        <v>380</v>
      </c>
      <c r="D186" s="3" t="s">
        <v>1198</v>
      </c>
      <c r="E186" s="3">
        <v>29</v>
      </c>
      <c r="F186" s="3" t="s">
        <v>23</v>
      </c>
      <c r="G186" s="3" t="s">
        <v>24</v>
      </c>
      <c r="H186" s="3"/>
      <c r="I186" s="3"/>
      <c r="J186" s="3" t="s">
        <v>565</v>
      </c>
      <c r="K186" s="3"/>
      <c r="L186" s="3"/>
      <c r="M186" s="20"/>
      <c r="N186" s="34"/>
      <c r="O186" s="3"/>
      <c r="P186" s="3">
        <v>1</v>
      </c>
      <c r="Q186" s="3"/>
      <c r="R186" s="3"/>
      <c r="S186" s="3"/>
    </row>
    <row r="187" spans="1:19" ht="25" customHeight="1" x14ac:dyDescent="0.3">
      <c r="A187" s="3">
        <v>178</v>
      </c>
      <c r="B187" s="3" t="s">
        <v>1327</v>
      </c>
      <c r="C187" s="3" t="s">
        <v>528</v>
      </c>
      <c r="D187" s="3" t="s">
        <v>859</v>
      </c>
      <c r="E187" s="3">
        <v>33</v>
      </c>
      <c r="F187" s="3" t="s">
        <v>23</v>
      </c>
      <c r="G187" s="3" t="s">
        <v>64</v>
      </c>
      <c r="H187" s="3"/>
      <c r="I187" s="3"/>
      <c r="J187" s="3" t="s">
        <v>571</v>
      </c>
      <c r="K187" s="3"/>
      <c r="L187" s="3"/>
      <c r="M187" s="20"/>
      <c r="N187" s="34"/>
      <c r="O187" s="3"/>
      <c r="P187" s="3"/>
      <c r="Q187" s="3"/>
      <c r="R187" s="3">
        <v>1</v>
      </c>
      <c r="S187" s="3"/>
    </row>
    <row r="188" spans="1:19" ht="25" customHeight="1" x14ac:dyDescent="0.3">
      <c r="A188" s="3">
        <v>179</v>
      </c>
      <c r="B188" s="3" t="s">
        <v>1328</v>
      </c>
      <c r="C188" s="3" t="s">
        <v>1329</v>
      </c>
      <c r="D188" s="3" t="s">
        <v>1186</v>
      </c>
      <c r="E188" s="3">
        <v>26</v>
      </c>
      <c r="F188" s="3" t="s">
        <v>23</v>
      </c>
      <c r="G188" s="3" t="s">
        <v>29</v>
      </c>
      <c r="H188" s="3"/>
      <c r="I188" s="3"/>
      <c r="J188" s="3" t="s">
        <v>1356</v>
      </c>
      <c r="K188" s="3"/>
      <c r="L188" s="3"/>
      <c r="M188" s="20"/>
      <c r="N188" s="34"/>
      <c r="O188" s="3">
        <v>1</v>
      </c>
      <c r="P188" s="3"/>
      <c r="Q188" s="3"/>
      <c r="R188" s="3"/>
      <c r="S188" s="3"/>
    </row>
    <row r="189" spans="1:19" ht="25" customHeight="1" x14ac:dyDescent="0.3">
      <c r="A189" s="3">
        <v>180</v>
      </c>
      <c r="B189" s="3" t="s">
        <v>1330</v>
      </c>
      <c r="C189" s="3" t="s">
        <v>1331</v>
      </c>
      <c r="D189" s="3" t="s">
        <v>1281</v>
      </c>
      <c r="E189" s="3">
        <v>25</v>
      </c>
      <c r="F189" s="3" t="s">
        <v>23</v>
      </c>
      <c r="G189" s="3" t="s">
        <v>29</v>
      </c>
      <c r="H189" s="3"/>
      <c r="I189" s="3"/>
      <c r="J189" s="3" t="s">
        <v>920</v>
      </c>
      <c r="K189" s="3"/>
      <c r="L189" s="3"/>
      <c r="M189" s="20"/>
      <c r="N189" s="34"/>
      <c r="O189" s="3">
        <v>1</v>
      </c>
      <c r="P189" s="3"/>
      <c r="Q189" s="3"/>
      <c r="R189" s="3"/>
      <c r="S189" s="3"/>
    </row>
    <row r="190" spans="1:19" ht="25" customHeight="1" x14ac:dyDescent="0.3">
      <c r="A190" s="3">
        <v>181</v>
      </c>
      <c r="B190" s="3" t="s">
        <v>1332</v>
      </c>
      <c r="C190" s="3" t="s">
        <v>214</v>
      </c>
      <c r="D190" s="3" t="s">
        <v>1333</v>
      </c>
      <c r="E190" s="3">
        <v>28</v>
      </c>
      <c r="F190" s="3" t="s">
        <v>23</v>
      </c>
      <c r="G190" s="3" t="s">
        <v>29</v>
      </c>
      <c r="H190" s="3"/>
      <c r="I190" s="3"/>
      <c r="J190" s="3" t="s">
        <v>565</v>
      </c>
      <c r="K190" s="3"/>
      <c r="L190" s="3"/>
      <c r="M190" s="20"/>
      <c r="N190" s="34"/>
      <c r="O190" s="3">
        <v>1</v>
      </c>
      <c r="P190" s="3"/>
      <c r="Q190" s="3"/>
      <c r="R190" s="3"/>
      <c r="S190" s="3"/>
    </row>
    <row r="191" spans="1:19" ht="25" customHeight="1" x14ac:dyDescent="0.3">
      <c r="A191" s="3">
        <v>182</v>
      </c>
      <c r="B191" s="3" t="s">
        <v>1334</v>
      </c>
      <c r="C191" s="3" t="s">
        <v>522</v>
      </c>
      <c r="D191" s="3" t="s">
        <v>558</v>
      </c>
      <c r="E191" s="3">
        <v>25</v>
      </c>
      <c r="F191" s="3" t="s">
        <v>23</v>
      </c>
      <c r="G191" s="3" t="s">
        <v>29</v>
      </c>
      <c r="H191" s="3"/>
      <c r="I191" s="3"/>
      <c r="J191" s="3" t="s">
        <v>1357</v>
      </c>
      <c r="K191" s="3"/>
      <c r="L191" s="3"/>
      <c r="M191" s="20"/>
      <c r="N191" s="34"/>
      <c r="O191" s="3">
        <v>1</v>
      </c>
      <c r="P191" s="3"/>
      <c r="Q191" s="3"/>
      <c r="R191" s="3"/>
      <c r="S191" s="3"/>
    </row>
    <row r="192" spans="1:19" ht="25" customHeight="1" x14ac:dyDescent="0.3">
      <c r="A192" s="3">
        <v>183</v>
      </c>
      <c r="B192" s="3" t="s">
        <v>1335</v>
      </c>
      <c r="C192" s="3" t="s">
        <v>418</v>
      </c>
      <c r="D192" s="3" t="s">
        <v>1336</v>
      </c>
      <c r="E192" s="3">
        <v>35</v>
      </c>
      <c r="F192" s="3" t="s">
        <v>23</v>
      </c>
      <c r="G192" s="3" t="s">
        <v>29</v>
      </c>
      <c r="H192" s="3"/>
      <c r="I192" s="3"/>
      <c r="J192" s="3" t="s">
        <v>952</v>
      </c>
      <c r="K192" s="3"/>
      <c r="L192" s="3"/>
      <c r="M192" s="20"/>
      <c r="N192" s="34"/>
      <c r="O192" s="3">
        <v>1</v>
      </c>
      <c r="P192" s="3"/>
      <c r="Q192" s="3"/>
      <c r="R192" s="3"/>
      <c r="S192" s="3"/>
    </row>
    <row r="193" spans="1:19" ht="25" customHeight="1" x14ac:dyDescent="0.3">
      <c r="A193" s="3">
        <v>184</v>
      </c>
      <c r="B193" s="3" t="s">
        <v>1337</v>
      </c>
      <c r="C193" s="3" t="s">
        <v>1338</v>
      </c>
      <c r="D193" s="3" t="s">
        <v>608</v>
      </c>
      <c r="E193" s="3">
        <v>30</v>
      </c>
      <c r="F193" s="3" t="s">
        <v>23</v>
      </c>
      <c r="G193" s="3" t="s">
        <v>36</v>
      </c>
      <c r="H193" s="3"/>
      <c r="I193" s="3"/>
      <c r="J193" s="3" t="s">
        <v>952</v>
      </c>
      <c r="K193" s="3"/>
      <c r="L193" s="3"/>
      <c r="M193" s="20"/>
      <c r="N193" s="34"/>
      <c r="O193" s="3"/>
      <c r="P193" s="3"/>
      <c r="Q193" s="3">
        <v>1</v>
      </c>
      <c r="R193" s="3"/>
      <c r="S193" s="3"/>
    </row>
    <row r="194" spans="1:19" ht="25" customHeight="1" x14ac:dyDescent="0.3">
      <c r="A194" s="3">
        <v>185</v>
      </c>
      <c r="B194" s="3" t="s">
        <v>1339</v>
      </c>
      <c r="C194" s="3" t="s">
        <v>1340</v>
      </c>
      <c r="D194" s="3" t="s">
        <v>375</v>
      </c>
      <c r="E194" s="3">
        <v>27</v>
      </c>
      <c r="F194" s="3" t="s">
        <v>23</v>
      </c>
      <c r="G194" s="3" t="s">
        <v>24</v>
      </c>
      <c r="H194" s="3"/>
      <c r="I194" s="3"/>
      <c r="J194" s="3" t="s">
        <v>565</v>
      </c>
      <c r="K194" s="3"/>
      <c r="L194" s="3"/>
      <c r="M194" s="20"/>
      <c r="N194" s="34"/>
      <c r="O194" s="3"/>
      <c r="P194" s="3">
        <v>1</v>
      </c>
      <c r="Q194" s="3"/>
      <c r="R194" s="3"/>
      <c r="S194" s="3"/>
    </row>
    <row r="195" spans="1:19" ht="25" customHeight="1" x14ac:dyDescent="0.3">
      <c r="A195" s="3">
        <v>186</v>
      </c>
      <c r="B195" s="3" t="s">
        <v>1341</v>
      </c>
      <c r="C195" s="3" t="s">
        <v>1342</v>
      </c>
      <c r="D195" s="3" t="s">
        <v>1343</v>
      </c>
      <c r="E195" s="3">
        <v>28</v>
      </c>
      <c r="F195" s="3" t="s">
        <v>23</v>
      </c>
      <c r="G195" s="3" t="s">
        <v>29</v>
      </c>
      <c r="H195" s="3"/>
      <c r="I195" s="3"/>
      <c r="J195" s="3" t="s">
        <v>406</v>
      </c>
      <c r="K195" s="3"/>
      <c r="L195" s="3"/>
      <c r="M195" s="20"/>
      <c r="N195" s="34"/>
      <c r="O195" s="3">
        <v>1</v>
      </c>
      <c r="P195" s="3"/>
      <c r="Q195" s="3"/>
      <c r="R195" s="3"/>
      <c r="S195" s="3"/>
    </row>
    <row r="196" spans="1:19" ht="25" customHeight="1" x14ac:dyDescent="0.3">
      <c r="A196" s="3">
        <v>187</v>
      </c>
      <c r="B196" s="3" t="s">
        <v>870</v>
      </c>
      <c r="C196" s="3" t="s">
        <v>200</v>
      </c>
      <c r="D196" s="3" t="s">
        <v>1344</v>
      </c>
      <c r="E196" s="3">
        <v>27</v>
      </c>
      <c r="F196" s="3" t="s">
        <v>23</v>
      </c>
      <c r="G196" s="3" t="s">
        <v>64</v>
      </c>
      <c r="H196" s="3"/>
      <c r="I196" s="3"/>
      <c r="J196" s="3" t="s">
        <v>1348</v>
      </c>
      <c r="K196" s="3"/>
      <c r="L196" s="3"/>
      <c r="M196" s="20"/>
      <c r="N196" s="34"/>
      <c r="O196" s="3"/>
      <c r="P196" s="3"/>
      <c r="Q196" s="3"/>
      <c r="R196" s="3">
        <v>1</v>
      </c>
      <c r="S196" s="3"/>
    </row>
    <row r="197" spans="1:19" ht="25" customHeight="1" x14ac:dyDescent="0.3">
      <c r="A197" s="3">
        <v>188</v>
      </c>
      <c r="B197" s="3" t="s">
        <v>604</v>
      </c>
      <c r="C197" s="3" t="s">
        <v>1345</v>
      </c>
      <c r="D197" s="3" t="s">
        <v>342</v>
      </c>
      <c r="E197" s="3">
        <v>31</v>
      </c>
      <c r="F197" s="3" t="s">
        <v>23</v>
      </c>
      <c r="G197" s="3" t="s">
        <v>24</v>
      </c>
      <c r="H197" s="3"/>
      <c r="I197" s="3"/>
      <c r="J197" s="3" t="s">
        <v>1351</v>
      </c>
      <c r="K197" s="3"/>
      <c r="L197" s="3"/>
      <c r="M197" s="20"/>
      <c r="N197" s="34"/>
      <c r="O197" s="3"/>
      <c r="P197" s="3">
        <v>1</v>
      </c>
      <c r="Q197" s="3"/>
      <c r="R197" s="3"/>
      <c r="S197" s="3"/>
    </row>
    <row r="198" spans="1:19" ht="25" customHeight="1" x14ac:dyDescent="0.3">
      <c r="A198" s="3">
        <v>189</v>
      </c>
      <c r="B198" s="3" t="s">
        <v>1318</v>
      </c>
      <c r="C198" s="3" t="s">
        <v>1460</v>
      </c>
      <c r="D198" s="3" t="s">
        <v>1461</v>
      </c>
      <c r="E198" s="3">
        <v>32</v>
      </c>
      <c r="F198" s="3" t="s">
        <v>23</v>
      </c>
      <c r="G198" s="3" t="s">
        <v>29</v>
      </c>
      <c r="H198" s="3"/>
      <c r="I198" s="3"/>
      <c r="J198" s="3" t="s">
        <v>1476</v>
      </c>
      <c r="K198" s="3"/>
      <c r="L198" s="3"/>
      <c r="M198" s="20"/>
      <c r="N198" s="34"/>
      <c r="O198" s="3">
        <v>1</v>
      </c>
      <c r="P198" s="3"/>
      <c r="Q198" s="3"/>
      <c r="R198" s="3"/>
      <c r="S198" s="3"/>
    </row>
    <row r="199" spans="1:19" ht="25" customHeight="1" x14ac:dyDescent="0.3">
      <c r="A199" s="3">
        <v>190</v>
      </c>
      <c r="B199" s="3" t="s">
        <v>1374</v>
      </c>
      <c r="C199" s="3" t="s">
        <v>1462</v>
      </c>
      <c r="D199" s="3" t="s">
        <v>27</v>
      </c>
      <c r="E199" s="3">
        <v>29</v>
      </c>
      <c r="F199" s="3" t="s">
        <v>23</v>
      </c>
      <c r="G199" s="3" t="s">
        <v>29</v>
      </c>
      <c r="H199" s="3"/>
      <c r="I199" s="3"/>
      <c r="J199" s="3" t="s">
        <v>1476</v>
      </c>
      <c r="K199" s="3"/>
      <c r="L199" s="3"/>
      <c r="M199" s="20"/>
      <c r="N199" s="34"/>
      <c r="O199" s="3">
        <v>1</v>
      </c>
      <c r="P199" s="3"/>
      <c r="Q199" s="3"/>
      <c r="R199" s="3"/>
      <c r="S199" s="3"/>
    </row>
    <row r="200" spans="1:19" ht="25" customHeight="1" x14ac:dyDescent="0.3">
      <c r="A200" s="3">
        <v>191</v>
      </c>
      <c r="B200" s="3" t="s">
        <v>1463</v>
      </c>
      <c r="C200" s="3" t="s">
        <v>1464</v>
      </c>
      <c r="D200" s="3" t="s">
        <v>200</v>
      </c>
      <c r="E200" s="3">
        <v>30</v>
      </c>
      <c r="F200" s="3" t="s">
        <v>23</v>
      </c>
      <c r="G200" s="3" t="s">
        <v>24</v>
      </c>
      <c r="H200" s="3"/>
      <c r="I200" s="3"/>
      <c r="J200" s="3" t="s">
        <v>1476</v>
      </c>
      <c r="K200" s="3"/>
      <c r="L200" s="3"/>
      <c r="M200" s="20"/>
      <c r="N200" s="34"/>
      <c r="O200" s="3"/>
      <c r="P200" s="3">
        <v>1</v>
      </c>
      <c r="Q200" s="3"/>
      <c r="R200" s="3"/>
      <c r="S200" s="3"/>
    </row>
    <row r="201" spans="1:19" ht="25" customHeight="1" x14ac:dyDescent="0.3">
      <c r="A201" s="3">
        <v>192</v>
      </c>
      <c r="B201" s="3" t="s">
        <v>1465</v>
      </c>
      <c r="C201" s="3" t="s">
        <v>21</v>
      </c>
      <c r="D201" s="3" t="s">
        <v>201</v>
      </c>
      <c r="E201" s="3">
        <v>33</v>
      </c>
      <c r="F201" s="3" t="s">
        <v>23</v>
      </c>
      <c r="G201" s="3" t="s">
        <v>29</v>
      </c>
      <c r="H201" s="3"/>
      <c r="I201" s="3"/>
      <c r="J201" s="3" t="s">
        <v>1476</v>
      </c>
      <c r="K201" s="3"/>
      <c r="L201" s="3"/>
      <c r="M201" s="20"/>
      <c r="N201" s="34"/>
      <c r="O201" s="3">
        <v>1</v>
      </c>
      <c r="P201" s="3"/>
      <c r="Q201" s="3"/>
      <c r="R201" s="3"/>
      <c r="S201" s="3"/>
    </row>
    <row r="202" spans="1:19" ht="25" customHeight="1" x14ac:dyDescent="0.3">
      <c r="A202" s="3">
        <v>193</v>
      </c>
      <c r="B202" s="3" t="s">
        <v>1466</v>
      </c>
      <c r="C202" s="3" t="s">
        <v>1467</v>
      </c>
      <c r="D202" s="3" t="s">
        <v>522</v>
      </c>
      <c r="E202" s="3">
        <v>33</v>
      </c>
      <c r="F202" s="3" t="s">
        <v>23</v>
      </c>
      <c r="G202" s="3" t="s">
        <v>29</v>
      </c>
      <c r="H202" s="3"/>
      <c r="I202" s="3"/>
      <c r="J202" s="3" t="s">
        <v>1476</v>
      </c>
      <c r="K202" s="3"/>
      <c r="L202" s="3"/>
      <c r="M202" s="20"/>
      <c r="N202" s="34"/>
      <c r="O202" s="3">
        <v>1</v>
      </c>
      <c r="P202" s="3"/>
      <c r="Q202" s="3"/>
      <c r="R202" s="3"/>
      <c r="S202" s="3"/>
    </row>
    <row r="203" spans="1:19" ht="25" customHeight="1" x14ac:dyDescent="0.3">
      <c r="A203" s="3">
        <v>194</v>
      </c>
      <c r="B203" s="3" t="s">
        <v>1468</v>
      </c>
      <c r="C203" s="3" t="s">
        <v>27</v>
      </c>
      <c r="D203" s="3" t="s">
        <v>1469</v>
      </c>
      <c r="E203" s="3">
        <v>31</v>
      </c>
      <c r="F203" s="3" t="s">
        <v>23</v>
      </c>
      <c r="G203" s="3" t="s">
        <v>29</v>
      </c>
      <c r="H203" s="3"/>
      <c r="I203" s="3"/>
      <c r="J203" s="3" t="s">
        <v>1476</v>
      </c>
      <c r="K203" s="3"/>
      <c r="L203" s="3"/>
      <c r="M203" s="20"/>
      <c r="N203" s="34"/>
      <c r="O203" s="3">
        <v>1</v>
      </c>
      <c r="P203" s="3"/>
      <c r="Q203" s="3"/>
      <c r="R203" s="3"/>
      <c r="S203" s="3"/>
    </row>
    <row r="204" spans="1:19" ht="25" customHeight="1" x14ac:dyDescent="0.3">
      <c r="A204" s="3">
        <v>195</v>
      </c>
      <c r="B204" s="3" t="s">
        <v>1470</v>
      </c>
      <c r="C204" s="3" t="s">
        <v>111</v>
      </c>
      <c r="D204" s="3" t="s">
        <v>962</v>
      </c>
      <c r="E204" s="3">
        <v>27</v>
      </c>
      <c r="F204" s="3" t="s">
        <v>23</v>
      </c>
      <c r="G204" s="3" t="s">
        <v>24</v>
      </c>
      <c r="H204" s="3"/>
      <c r="I204" s="3"/>
      <c r="J204" s="3" t="s">
        <v>1476</v>
      </c>
      <c r="K204" s="3"/>
      <c r="L204" s="3"/>
      <c r="M204" s="20"/>
      <c r="N204" s="34"/>
      <c r="O204" s="3"/>
      <c r="P204" s="3">
        <v>1</v>
      </c>
      <c r="Q204" s="3"/>
      <c r="R204" s="3"/>
      <c r="S204" s="3"/>
    </row>
    <row r="205" spans="1:19" ht="25" customHeight="1" x14ac:dyDescent="0.3">
      <c r="A205" s="3">
        <v>196</v>
      </c>
      <c r="B205" s="3" t="s">
        <v>743</v>
      </c>
      <c r="C205" s="3" t="s">
        <v>1471</v>
      </c>
      <c r="D205" s="3" t="s">
        <v>908</v>
      </c>
      <c r="E205" s="3">
        <v>26</v>
      </c>
      <c r="F205" s="3" t="s">
        <v>23</v>
      </c>
      <c r="G205" s="3" t="s">
        <v>29</v>
      </c>
      <c r="H205" s="3"/>
      <c r="I205" s="3"/>
      <c r="J205" s="3" t="s">
        <v>1476</v>
      </c>
      <c r="K205" s="3"/>
      <c r="L205" s="3"/>
      <c r="M205" s="20"/>
      <c r="N205" s="34"/>
      <c r="O205" s="3">
        <v>1</v>
      </c>
      <c r="P205" s="3"/>
      <c r="Q205" s="3"/>
      <c r="R205" s="3"/>
      <c r="S205" s="3"/>
    </row>
    <row r="206" spans="1:19" ht="25" customHeight="1" x14ac:dyDescent="0.3">
      <c r="A206" s="3">
        <v>197</v>
      </c>
      <c r="B206" s="3" t="s">
        <v>1472</v>
      </c>
      <c r="C206" s="3" t="s">
        <v>558</v>
      </c>
      <c r="D206" s="3" t="s">
        <v>86</v>
      </c>
      <c r="E206" s="3">
        <v>24</v>
      </c>
      <c r="F206" s="3" t="s">
        <v>23</v>
      </c>
      <c r="G206" s="3" t="s">
        <v>24</v>
      </c>
      <c r="H206" s="3"/>
      <c r="I206" s="3"/>
      <c r="J206" s="3" t="s">
        <v>1476</v>
      </c>
      <c r="K206" s="3"/>
      <c r="L206" s="3"/>
      <c r="M206" s="20"/>
      <c r="N206" s="34"/>
      <c r="O206" s="3"/>
      <c r="P206" s="3">
        <v>1</v>
      </c>
      <c r="Q206" s="3"/>
      <c r="R206" s="3"/>
      <c r="S206" s="3"/>
    </row>
    <row r="207" spans="1:19" ht="25" customHeight="1" x14ac:dyDescent="0.3">
      <c r="A207" s="3">
        <v>198</v>
      </c>
      <c r="B207" s="3" t="s">
        <v>1473</v>
      </c>
      <c r="C207" s="3" t="s">
        <v>1474</v>
      </c>
      <c r="D207" s="3" t="s">
        <v>143</v>
      </c>
      <c r="E207" s="3">
        <v>30</v>
      </c>
      <c r="F207" s="3" t="s">
        <v>23</v>
      </c>
      <c r="G207" s="3" t="s">
        <v>24</v>
      </c>
      <c r="H207" s="3"/>
      <c r="I207" s="3"/>
      <c r="J207" s="3" t="s">
        <v>1476</v>
      </c>
      <c r="K207" s="3"/>
      <c r="L207" s="3"/>
      <c r="M207" s="20"/>
      <c r="N207" s="34"/>
      <c r="O207" s="3"/>
      <c r="P207" s="3">
        <v>1</v>
      </c>
      <c r="Q207" s="3"/>
      <c r="R207" s="3"/>
      <c r="S207" s="3"/>
    </row>
    <row r="208" spans="1:19" ht="25" customHeight="1" x14ac:dyDescent="0.3">
      <c r="A208" s="3">
        <v>199</v>
      </c>
      <c r="B208" s="3" t="s">
        <v>1475</v>
      </c>
      <c r="C208" s="3" t="s">
        <v>222</v>
      </c>
      <c r="D208" s="3" t="s">
        <v>201</v>
      </c>
      <c r="E208" s="3">
        <v>26</v>
      </c>
      <c r="F208" s="3" t="s">
        <v>23</v>
      </c>
      <c r="G208" s="3" t="s">
        <v>29</v>
      </c>
      <c r="H208" s="3"/>
      <c r="I208" s="3"/>
      <c r="J208" s="3" t="s">
        <v>1476</v>
      </c>
      <c r="K208" s="3"/>
      <c r="L208" s="3"/>
      <c r="M208" s="20"/>
      <c r="N208" s="34"/>
      <c r="O208" s="3">
        <v>1</v>
      </c>
      <c r="P208" s="3"/>
      <c r="Q208" s="3"/>
      <c r="R208" s="3"/>
      <c r="S208" s="3"/>
    </row>
    <row r="209" spans="1:19" ht="25" customHeight="1" x14ac:dyDescent="0.3">
      <c r="A209" s="3">
        <v>200</v>
      </c>
      <c r="B209" s="3" t="s">
        <v>1362</v>
      </c>
      <c r="C209" s="3" t="s">
        <v>186</v>
      </c>
      <c r="D209" s="3" t="s">
        <v>1188</v>
      </c>
      <c r="E209" s="3">
        <v>29</v>
      </c>
      <c r="F209" s="3" t="s">
        <v>23</v>
      </c>
      <c r="G209" s="3" t="s">
        <v>36</v>
      </c>
      <c r="H209" s="3"/>
      <c r="I209" s="3"/>
      <c r="J209" s="25" t="s">
        <v>1499</v>
      </c>
      <c r="K209" s="3"/>
      <c r="L209" s="3"/>
      <c r="M209" s="20"/>
      <c r="N209" s="34"/>
      <c r="O209" s="3"/>
      <c r="P209" s="3"/>
      <c r="Q209" s="3">
        <v>1</v>
      </c>
      <c r="R209" s="3"/>
      <c r="S209" s="3"/>
    </row>
    <row r="210" spans="1:19" ht="25" customHeight="1" x14ac:dyDescent="0.3">
      <c r="A210" s="3">
        <v>201</v>
      </c>
      <c r="B210" s="3" t="s">
        <v>1503</v>
      </c>
      <c r="C210" s="3" t="s">
        <v>1504</v>
      </c>
      <c r="D210" s="3" t="s">
        <v>1505</v>
      </c>
      <c r="E210" s="3">
        <v>26</v>
      </c>
      <c r="F210" s="3" t="s">
        <v>23</v>
      </c>
      <c r="G210" s="3" t="s">
        <v>24</v>
      </c>
      <c r="H210" s="3"/>
      <c r="I210" s="3"/>
      <c r="J210" s="25" t="s">
        <v>1506</v>
      </c>
      <c r="K210" s="3"/>
      <c r="L210" s="3"/>
      <c r="M210" s="20"/>
      <c r="N210" s="34"/>
      <c r="O210" s="3"/>
      <c r="P210" s="3">
        <v>1</v>
      </c>
      <c r="Q210" s="3"/>
      <c r="R210" s="3"/>
      <c r="S210" s="3"/>
    </row>
    <row r="211" spans="1:19" ht="25" customHeight="1" x14ac:dyDescent="0.3">
      <c r="A211" s="3">
        <v>202</v>
      </c>
      <c r="B211" s="3" t="s">
        <v>87</v>
      </c>
      <c r="C211" s="3" t="s">
        <v>137</v>
      </c>
      <c r="D211" s="3" t="s">
        <v>433</v>
      </c>
      <c r="E211" s="3">
        <v>32</v>
      </c>
      <c r="F211" s="3" t="s">
        <v>23</v>
      </c>
      <c r="G211" s="3" t="s">
        <v>24</v>
      </c>
      <c r="H211" s="3"/>
      <c r="I211" s="3"/>
      <c r="J211" s="25" t="s">
        <v>1512</v>
      </c>
      <c r="K211" s="3"/>
      <c r="L211" s="3"/>
      <c r="M211" s="20"/>
      <c r="N211" s="34"/>
      <c r="O211" s="3"/>
      <c r="P211" s="3">
        <v>1</v>
      </c>
      <c r="Q211" s="3"/>
      <c r="R211" s="3"/>
      <c r="S211" s="3"/>
    </row>
    <row r="212" spans="1:19" ht="25" customHeight="1" x14ac:dyDescent="0.3">
      <c r="A212" s="3">
        <v>203</v>
      </c>
      <c r="B212" s="3" t="s">
        <v>1517</v>
      </c>
      <c r="C212" s="3" t="s">
        <v>775</v>
      </c>
      <c r="D212" s="3" t="s">
        <v>1518</v>
      </c>
      <c r="E212" s="3">
        <v>32</v>
      </c>
      <c r="F212" s="3" t="s">
        <v>23</v>
      </c>
      <c r="G212" s="3" t="s">
        <v>64</v>
      </c>
      <c r="H212" s="3"/>
      <c r="I212" s="3"/>
      <c r="J212" s="25" t="s">
        <v>1153</v>
      </c>
      <c r="K212" s="3"/>
      <c r="L212" s="3"/>
      <c r="M212" s="20"/>
      <c r="N212" s="34"/>
      <c r="O212" s="3"/>
      <c r="P212" s="3"/>
      <c r="Q212" s="3"/>
      <c r="R212" s="3">
        <v>1</v>
      </c>
      <c r="S212" s="3"/>
    </row>
    <row r="213" spans="1:19" ht="25" customHeight="1" x14ac:dyDescent="0.3">
      <c r="A213" s="3">
        <v>204</v>
      </c>
      <c r="B213" s="3" t="s">
        <v>1520</v>
      </c>
      <c r="C213" s="3" t="s">
        <v>1521</v>
      </c>
      <c r="D213" s="3" t="s">
        <v>1522</v>
      </c>
      <c r="E213" s="3">
        <v>27</v>
      </c>
      <c r="F213" s="3" t="s">
        <v>23</v>
      </c>
      <c r="G213" s="3" t="s">
        <v>29</v>
      </c>
      <c r="H213" s="3"/>
      <c r="I213" s="3"/>
      <c r="J213" s="25" t="s">
        <v>1523</v>
      </c>
      <c r="K213" s="3"/>
      <c r="L213" s="3"/>
      <c r="M213" s="20"/>
      <c r="N213" s="34"/>
      <c r="O213" s="3">
        <v>1</v>
      </c>
      <c r="P213" s="3"/>
      <c r="Q213" s="3"/>
      <c r="R213" s="3"/>
      <c r="S213" s="3"/>
    </row>
    <row r="214" spans="1:19" ht="25" customHeight="1" x14ac:dyDescent="0.3">
      <c r="A214" s="3">
        <v>205</v>
      </c>
      <c r="B214" s="3" t="s">
        <v>323</v>
      </c>
      <c r="C214" s="3" t="s">
        <v>935</v>
      </c>
      <c r="D214" s="3" t="s">
        <v>228</v>
      </c>
      <c r="E214" s="3">
        <v>21</v>
      </c>
      <c r="F214" s="3" t="s">
        <v>23</v>
      </c>
      <c r="G214" s="3" t="s">
        <v>24</v>
      </c>
      <c r="H214" s="3"/>
      <c r="I214" s="3"/>
      <c r="J214" s="25" t="s">
        <v>1529</v>
      </c>
      <c r="K214" s="3"/>
      <c r="L214" s="3"/>
      <c r="M214" s="20"/>
      <c r="N214" s="34"/>
      <c r="O214" s="3"/>
      <c r="P214" s="3">
        <v>1</v>
      </c>
      <c r="Q214" s="3"/>
      <c r="R214" s="3"/>
      <c r="S214" s="3"/>
    </row>
    <row r="215" spans="1:19" ht="25" customHeight="1" x14ac:dyDescent="0.3">
      <c r="A215" s="3">
        <v>206</v>
      </c>
      <c r="B215" s="3" t="s">
        <v>1543</v>
      </c>
      <c r="C215" s="3" t="s">
        <v>1544</v>
      </c>
      <c r="D215" s="3" t="s">
        <v>1545</v>
      </c>
      <c r="E215" s="3">
        <v>26</v>
      </c>
      <c r="F215" s="3" t="s">
        <v>23</v>
      </c>
      <c r="G215" s="3" t="s">
        <v>36</v>
      </c>
      <c r="H215" s="3"/>
      <c r="I215" s="3"/>
      <c r="J215" s="25" t="s">
        <v>1546</v>
      </c>
      <c r="K215" s="3"/>
      <c r="L215" s="3"/>
      <c r="M215" s="20"/>
      <c r="N215" s="34"/>
      <c r="O215" s="3"/>
      <c r="P215" s="3"/>
      <c r="Q215" s="3">
        <v>1</v>
      </c>
      <c r="R215" s="3"/>
      <c r="S215" s="3"/>
    </row>
    <row r="216" spans="1:19" ht="25" customHeight="1" x14ac:dyDescent="0.3">
      <c r="A216" s="3">
        <v>207</v>
      </c>
      <c r="B216" s="3" t="s">
        <v>1560</v>
      </c>
      <c r="C216" s="3" t="s">
        <v>499</v>
      </c>
      <c r="D216" s="3" t="s">
        <v>970</v>
      </c>
      <c r="E216" s="3">
        <v>26</v>
      </c>
      <c r="F216" s="3" t="s">
        <v>23</v>
      </c>
      <c r="G216" s="3" t="s">
        <v>29</v>
      </c>
      <c r="H216" s="3"/>
      <c r="I216" s="3"/>
      <c r="J216" s="25" t="s">
        <v>1561</v>
      </c>
      <c r="K216" s="3"/>
      <c r="L216" s="3"/>
      <c r="M216" s="20"/>
      <c r="N216" s="34"/>
      <c r="O216" s="3">
        <v>1</v>
      </c>
      <c r="P216" s="3"/>
      <c r="Q216" s="3"/>
      <c r="R216" s="3"/>
      <c r="S216" s="3"/>
    </row>
    <row r="217" spans="1:19" ht="25" customHeight="1" x14ac:dyDescent="0.3">
      <c r="A217" s="3">
        <v>208</v>
      </c>
      <c r="B217" s="3" t="s">
        <v>1562</v>
      </c>
      <c r="C217" s="3" t="s">
        <v>608</v>
      </c>
      <c r="D217" s="3" t="s">
        <v>1563</v>
      </c>
      <c r="E217" s="3">
        <v>28</v>
      </c>
      <c r="F217" s="3" t="s">
        <v>23</v>
      </c>
      <c r="G217" s="3" t="s">
        <v>24</v>
      </c>
      <c r="H217" s="3"/>
      <c r="I217" s="3"/>
      <c r="J217" s="25" t="s">
        <v>1564</v>
      </c>
      <c r="K217" s="3"/>
      <c r="L217" s="3"/>
      <c r="M217" s="20"/>
      <c r="N217" s="34"/>
      <c r="O217" s="3"/>
      <c r="P217" s="3">
        <v>1</v>
      </c>
      <c r="Q217" s="3"/>
      <c r="R217" s="3"/>
      <c r="S217" s="3"/>
    </row>
    <row r="218" spans="1:19" ht="25" customHeight="1" x14ac:dyDescent="0.3">
      <c r="A218" s="3">
        <v>209</v>
      </c>
      <c r="B218" s="3" t="s">
        <v>1576</v>
      </c>
      <c r="C218" s="3" t="s">
        <v>1577</v>
      </c>
      <c r="D218" s="3" t="s">
        <v>840</v>
      </c>
      <c r="E218" s="3">
        <v>31</v>
      </c>
      <c r="F218" s="3" t="s">
        <v>23</v>
      </c>
      <c r="G218" s="3" t="s">
        <v>36</v>
      </c>
      <c r="H218" s="3"/>
      <c r="I218" s="3"/>
      <c r="J218" s="25" t="s">
        <v>1578</v>
      </c>
      <c r="K218" s="3"/>
      <c r="L218" s="3"/>
      <c r="M218" s="20"/>
      <c r="N218" s="34"/>
      <c r="O218" s="3"/>
      <c r="P218" s="3"/>
      <c r="Q218" s="3">
        <v>1</v>
      </c>
      <c r="R218" s="3"/>
      <c r="S218" s="3"/>
    </row>
    <row r="219" spans="1:19" ht="25" customHeight="1" x14ac:dyDescent="0.3">
      <c r="A219" s="3">
        <v>210</v>
      </c>
      <c r="B219" s="3" t="s">
        <v>1609</v>
      </c>
      <c r="C219" s="3" t="s">
        <v>1610</v>
      </c>
      <c r="D219" s="3" t="s">
        <v>228</v>
      </c>
      <c r="E219" s="3">
        <v>27</v>
      </c>
      <c r="F219" s="3" t="s">
        <v>23</v>
      </c>
      <c r="G219" s="3" t="s">
        <v>29</v>
      </c>
      <c r="H219" s="3"/>
      <c r="I219" s="3"/>
      <c r="J219" s="25" t="s">
        <v>1611</v>
      </c>
      <c r="K219" s="3"/>
      <c r="L219" s="3"/>
      <c r="M219" s="20"/>
      <c r="N219" s="34"/>
      <c r="O219" s="3">
        <v>1</v>
      </c>
      <c r="P219" s="3"/>
      <c r="Q219" s="3"/>
      <c r="R219" s="3"/>
      <c r="S219" s="3"/>
    </row>
    <row r="220" spans="1:19" ht="25" customHeight="1" x14ac:dyDescent="0.3">
      <c r="A220" s="3">
        <v>211</v>
      </c>
      <c r="B220" s="3" t="s">
        <v>874</v>
      </c>
      <c r="C220" s="3" t="s">
        <v>111</v>
      </c>
      <c r="D220" s="3" t="s">
        <v>186</v>
      </c>
      <c r="E220" s="3">
        <v>25</v>
      </c>
      <c r="F220" s="3" t="s">
        <v>23</v>
      </c>
      <c r="G220" s="3" t="s">
        <v>29</v>
      </c>
      <c r="H220" s="3"/>
      <c r="I220" s="3"/>
      <c r="J220" s="25" t="s">
        <v>1621</v>
      </c>
      <c r="K220" s="3"/>
      <c r="L220" s="3"/>
      <c r="M220" s="20"/>
      <c r="N220" s="34"/>
      <c r="O220" s="3">
        <v>1</v>
      </c>
      <c r="P220" s="3"/>
      <c r="Q220" s="3"/>
      <c r="R220" s="3"/>
      <c r="S220" s="3"/>
    </row>
    <row r="221" spans="1:19" ht="25" customHeight="1" x14ac:dyDescent="0.3">
      <c r="A221" s="3">
        <v>212</v>
      </c>
      <c r="B221" s="3" t="s">
        <v>373</v>
      </c>
      <c r="C221" s="3" t="s">
        <v>1622</v>
      </c>
      <c r="D221" s="3" t="s">
        <v>514</v>
      </c>
      <c r="E221" s="3">
        <v>27</v>
      </c>
      <c r="F221" s="3" t="s">
        <v>23</v>
      </c>
      <c r="G221" s="3" t="s">
        <v>24</v>
      </c>
      <c r="H221" s="3"/>
      <c r="I221" s="3"/>
      <c r="J221" s="25" t="s">
        <v>1623</v>
      </c>
      <c r="K221" s="3"/>
      <c r="L221" s="3"/>
      <c r="M221" s="20"/>
      <c r="N221" s="34"/>
      <c r="O221" s="3"/>
      <c r="P221" s="3">
        <v>1</v>
      </c>
      <c r="Q221" s="3"/>
      <c r="R221" s="3"/>
      <c r="S221" s="3"/>
    </row>
    <row r="222" spans="1:19" ht="25" customHeight="1" x14ac:dyDescent="0.3">
      <c r="A222" s="3">
        <v>213</v>
      </c>
      <c r="B222" s="3" t="s">
        <v>1626</v>
      </c>
      <c r="C222" s="3" t="s">
        <v>1627</v>
      </c>
      <c r="D222" s="3" t="s">
        <v>559</v>
      </c>
      <c r="E222" s="3">
        <v>23</v>
      </c>
      <c r="F222" s="3" t="s">
        <v>23</v>
      </c>
      <c r="G222" s="3" t="s">
        <v>36</v>
      </c>
      <c r="H222" s="3"/>
      <c r="I222" s="3"/>
      <c r="J222" s="25" t="s">
        <v>1628</v>
      </c>
      <c r="K222" s="3"/>
      <c r="L222" s="3"/>
      <c r="M222" s="20"/>
      <c r="N222" s="34"/>
      <c r="O222" s="3"/>
      <c r="P222" s="3"/>
      <c r="Q222" s="3">
        <v>1</v>
      </c>
      <c r="R222" s="3"/>
      <c r="S222" s="3"/>
    </row>
    <row r="223" spans="1:19" ht="25" customHeight="1" x14ac:dyDescent="0.3">
      <c r="A223" s="3">
        <v>214</v>
      </c>
      <c r="B223" s="3" t="s">
        <v>1629</v>
      </c>
      <c r="C223" s="3" t="s">
        <v>1630</v>
      </c>
      <c r="D223" s="3" t="s">
        <v>1631</v>
      </c>
      <c r="E223" s="3">
        <v>23</v>
      </c>
      <c r="F223" s="3" t="s">
        <v>23</v>
      </c>
      <c r="G223" s="3" t="s">
        <v>36</v>
      </c>
      <c r="H223" s="3"/>
      <c r="I223" s="3"/>
      <c r="J223" s="25" t="s">
        <v>1604</v>
      </c>
      <c r="K223" s="3"/>
      <c r="L223" s="3"/>
      <c r="M223" s="20"/>
      <c r="N223" s="34"/>
      <c r="O223" s="3"/>
      <c r="P223" s="3"/>
      <c r="Q223" s="3">
        <v>1</v>
      </c>
      <c r="R223" s="3"/>
      <c r="S223" s="3"/>
    </row>
    <row r="224" spans="1:19" ht="25" customHeight="1" x14ac:dyDescent="0.3">
      <c r="A224" s="3">
        <v>215</v>
      </c>
      <c r="B224" s="3" t="s">
        <v>1632</v>
      </c>
      <c r="C224" s="3" t="s">
        <v>329</v>
      </c>
      <c r="D224" s="3" t="s">
        <v>1633</v>
      </c>
      <c r="E224" s="3">
        <v>31</v>
      </c>
      <c r="F224" s="3" t="s">
        <v>23</v>
      </c>
      <c r="G224" s="3" t="s">
        <v>24</v>
      </c>
      <c r="H224" s="3"/>
      <c r="I224" s="3"/>
      <c r="J224" s="25" t="s">
        <v>895</v>
      </c>
      <c r="K224" s="3"/>
      <c r="L224" s="3"/>
      <c r="M224" s="20"/>
      <c r="N224" s="34"/>
      <c r="O224" s="3"/>
      <c r="P224" s="3">
        <v>1</v>
      </c>
      <c r="Q224" s="3"/>
      <c r="R224" s="3"/>
      <c r="S224" s="3"/>
    </row>
    <row r="225" spans="1:19" ht="25" customHeight="1" x14ac:dyDescent="0.3">
      <c r="A225" s="3">
        <v>216</v>
      </c>
      <c r="B225" s="3" t="s">
        <v>1646</v>
      </c>
      <c r="C225" s="3" t="s">
        <v>1648</v>
      </c>
      <c r="D225" s="3" t="s">
        <v>1647</v>
      </c>
      <c r="E225" s="3">
        <v>31</v>
      </c>
      <c r="F225" s="3" t="s">
        <v>23</v>
      </c>
      <c r="G225" s="3" t="s">
        <v>24</v>
      </c>
      <c r="H225" s="3"/>
      <c r="I225" s="3"/>
      <c r="J225" s="25" t="s">
        <v>1618</v>
      </c>
      <c r="K225" s="3"/>
      <c r="L225" s="3"/>
      <c r="M225" s="20"/>
      <c r="N225" s="34"/>
      <c r="O225" s="3"/>
      <c r="P225" s="3">
        <v>1</v>
      </c>
      <c r="Q225" s="3"/>
      <c r="R225" s="3"/>
      <c r="S225" s="3"/>
    </row>
    <row r="226" spans="1:19" ht="25" customHeight="1" x14ac:dyDescent="0.3">
      <c r="A226" s="3">
        <v>217</v>
      </c>
      <c r="B226" s="3" t="s">
        <v>1660</v>
      </c>
      <c r="C226" s="3" t="s">
        <v>1150</v>
      </c>
      <c r="D226" s="3" t="s">
        <v>186</v>
      </c>
      <c r="E226" s="3">
        <v>27</v>
      </c>
      <c r="F226" s="3" t="s">
        <v>23</v>
      </c>
      <c r="G226" s="3" t="s">
        <v>24</v>
      </c>
      <c r="H226" s="3"/>
      <c r="I226" s="3"/>
      <c r="J226" s="25" t="s">
        <v>1661</v>
      </c>
      <c r="K226" s="3"/>
      <c r="L226" s="3"/>
      <c r="M226" s="20"/>
      <c r="N226" s="34"/>
      <c r="O226" s="3"/>
      <c r="P226" s="3">
        <v>1</v>
      </c>
      <c r="Q226" s="3"/>
      <c r="R226" s="3"/>
      <c r="S226" s="3"/>
    </row>
    <row r="227" spans="1:19" ht="25" customHeight="1" x14ac:dyDescent="0.3">
      <c r="A227" s="3">
        <v>218</v>
      </c>
      <c r="B227" s="3" t="s">
        <v>1662</v>
      </c>
      <c r="C227" s="3" t="s">
        <v>775</v>
      </c>
      <c r="D227" s="3" t="s">
        <v>1663</v>
      </c>
      <c r="E227" s="3">
        <v>20</v>
      </c>
      <c r="F227" s="3" t="s">
        <v>23</v>
      </c>
      <c r="G227" s="3" t="s">
        <v>29</v>
      </c>
      <c r="H227" s="3"/>
      <c r="I227" s="3"/>
      <c r="J227" s="25" t="s">
        <v>1664</v>
      </c>
      <c r="K227" s="3"/>
      <c r="L227" s="3"/>
      <c r="M227" s="20"/>
      <c r="N227" s="34"/>
      <c r="O227" s="3">
        <v>1</v>
      </c>
      <c r="P227" s="3"/>
      <c r="Q227" s="3"/>
      <c r="R227" s="3"/>
      <c r="S227" s="3"/>
    </row>
    <row r="228" spans="1:19" ht="25" customHeight="1" x14ac:dyDescent="0.3">
      <c r="A228" s="3">
        <v>219</v>
      </c>
      <c r="B228" s="3" t="s">
        <v>1665</v>
      </c>
      <c r="C228" s="3" t="s">
        <v>773</v>
      </c>
      <c r="D228" s="3" t="s">
        <v>1666</v>
      </c>
      <c r="E228" s="3">
        <v>23</v>
      </c>
      <c r="F228" s="3" t="s">
        <v>23</v>
      </c>
      <c r="G228" s="3" t="s">
        <v>29</v>
      </c>
      <c r="H228" s="3"/>
      <c r="I228" s="3"/>
      <c r="J228" s="25" t="s">
        <v>1645</v>
      </c>
      <c r="K228" s="3"/>
      <c r="L228" s="3"/>
      <c r="M228" s="20"/>
      <c r="N228" s="34"/>
      <c r="O228" s="3">
        <v>1</v>
      </c>
      <c r="P228" s="3"/>
      <c r="Q228" s="3"/>
      <c r="R228" s="3"/>
      <c r="S228" s="3"/>
    </row>
    <row r="229" spans="1:19" ht="25" customHeight="1" x14ac:dyDescent="0.3">
      <c r="A229" s="3">
        <v>220</v>
      </c>
      <c r="B229" s="3" t="s">
        <v>1671</v>
      </c>
      <c r="C229" s="3" t="s">
        <v>1672</v>
      </c>
      <c r="D229" s="3" t="s">
        <v>1670</v>
      </c>
      <c r="E229" s="3">
        <v>29</v>
      </c>
      <c r="F229" s="3" t="s">
        <v>23</v>
      </c>
      <c r="G229" s="3" t="s">
        <v>29</v>
      </c>
      <c r="H229" s="3"/>
      <c r="I229" s="3"/>
      <c r="J229" s="25" t="s">
        <v>1673</v>
      </c>
      <c r="K229" s="3"/>
      <c r="L229" s="3"/>
      <c r="M229" s="20"/>
      <c r="N229" s="34"/>
      <c r="O229" s="3">
        <v>1</v>
      </c>
      <c r="P229" s="3"/>
      <c r="Q229" s="3"/>
      <c r="R229" s="3"/>
      <c r="S229" s="3"/>
    </row>
    <row r="230" spans="1:19" ht="25" customHeight="1" x14ac:dyDescent="0.3">
      <c r="A230" s="3">
        <v>221</v>
      </c>
      <c r="B230" s="3" t="s">
        <v>652</v>
      </c>
      <c r="C230" s="3" t="s">
        <v>1674</v>
      </c>
      <c r="D230" s="3" t="s">
        <v>274</v>
      </c>
      <c r="E230" s="3">
        <v>28</v>
      </c>
      <c r="F230" s="3" t="s">
        <v>23</v>
      </c>
      <c r="G230" s="3" t="s">
        <v>29</v>
      </c>
      <c r="H230" s="3"/>
      <c r="I230" s="3"/>
      <c r="J230" s="25" t="s">
        <v>1675</v>
      </c>
      <c r="K230" s="3"/>
      <c r="L230" s="3"/>
      <c r="M230" s="20"/>
      <c r="N230" s="34"/>
      <c r="O230" s="3">
        <v>1</v>
      </c>
      <c r="P230" s="3"/>
      <c r="Q230" s="3"/>
      <c r="R230" s="3"/>
      <c r="S230" s="3"/>
    </row>
    <row r="231" spans="1:19" ht="25" customHeight="1" x14ac:dyDescent="0.3">
      <c r="A231" s="3">
        <v>222</v>
      </c>
      <c r="B231" s="3" t="s">
        <v>1528</v>
      </c>
      <c r="C231" s="3" t="s">
        <v>727</v>
      </c>
      <c r="D231" s="3" t="s">
        <v>1676</v>
      </c>
      <c r="E231" s="3">
        <v>25</v>
      </c>
      <c r="F231" s="3" t="s">
        <v>23</v>
      </c>
      <c r="G231" s="3" t="s">
        <v>24</v>
      </c>
      <c r="H231" s="3"/>
      <c r="I231" s="3"/>
      <c r="J231" s="25" t="s">
        <v>537</v>
      </c>
      <c r="K231" s="3"/>
      <c r="L231" s="3"/>
      <c r="M231" s="20"/>
      <c r="N231" s="34"/>
      <c r="O231" s="3"/>
      <c r="P231" s="3">
        <v>1</v>
      </c>
      <c r="Q231" s="3"/>
      <c r="R231" s="3"/>
      <c r="S231" s="3"/>
    </row>
    <row r="232" spans="1:19" ht="25" customHeight="1" x14ac:dyDescent="0.3">
      <c r="A232" s="3">
        <v>223</v>
      </c>
      <c r="B232" s="3" t="s">
        <v>1695</v>
      </c>
      <c r="C232" s="3" t="s">
        <v>505</v>
      </c>
      <c r="D232" s="3" t="s">
        <v>1696</v>
      </c>
      <c r="E232" s="3">
        <v>27</v>
      </c>
      <c r="F232" s="3" t="s">
        <v>23</v>
      </c>
      <c r="G232" s="3" t="s">
        <v>29</v>
      </c>
      <c r="H232" s="3"/>
      <c r="I232" s="3"/>
      <c r="J232" s="25" t="s">
        <v>1697</v>
      </c>
      <c r="K232" s="3"/>
      <c r="L232" s="3"/>
      <c r="M232" s="20"/>
      <c r="N232" s="34"/>
      <c r="O232" s="3">
        <v>1</v>
      </c>
      <c r="P232" s="3"/>
      <c r="Q232" s="3"/>
      <c r="R232" s="3"/>
      <c r="S232" s="3"/>
    </row>
    <row r="233" spans="1:19" ht="25" customHeight="1" x14ac:dyDescent="0.3">
      <c r="A233" s="3">
        <v>224</v>
      </c>
      <c r="B233" s="3" t="s">
        <v>1698</v>
      </c>
      <c r="C233" s="3" t="s">
        <v>1699</v>
      </c>
      <c r="D233" s="3" t="s">
        <v>88</v>
      </c>
      <c r="E233" s="3">
        <v>32</v>
      </c>
      <c r="F233" s="3" t="s">
        <v>23</v>
      </c>
      <c r="G233" s="3" t="s">
        <v>24</v>
      </c>
      <c r="H233" s="3"/>
      <c r="I233" s="3"/>
      <c r="J233" s="25" t="s">
        <v>1700</v>
      </c>
      <c r="K233" s="3"/>
      <c r="L233" s="3"/>
      <c r="M233" s="20"/>
      <c r="N233" s="34"/>
      <c r="O233" s="3"/>
      <c r="P233" s="3">
        <v>1</v>
      </c>
      <c r="Q233" s="3"/>
      <c r="R233" s="3"/>
      <c r="S233" s="3"/>
    </row>
    <row r="234" spans="1:19" ht="25" customHeight="1" x14ac:dyDescent="0.3">
      <c r="A234" s="3">
        <v>225</v>
      </c>
      <c r="B234" s="3" t="s">
        <v>1727</v>
      </c>
      <c r="C234" s="3" t="s">
        <v>1728</v>
      </c>
      <c r="D234" s="3" t="s">
        <v>291</v>
      </c>
      <c r="E234" s="3">
        <v>26</v>
      </c>
      <c r="F234" s="3" t="s">
        <v>23</v>
      </c>
      <c r="G234" s="3" t="s">
        <v>29</v>
      </c>
      <c r="H234" s="3"/>
      <c r="I234" s="3"/>
      <c r="J234" s="25" t="s">
        <v>1729</v>
      </c>
      <c r="K234" s="3"/>
      <c r="L234" s="3"/>
      <c r="M234" s="20"/>
      <c r="N234" s="34"/>
      <c r="O234" s="3">
        <v>1</v>
      </c>
      <c r="P234" s="3"/>
      <c r="Q234" s="3"/>
      <c r="R234" s="3"/>
      <c r="S234" s="3"/>
    </row>
    <row r="235" spans="1:19" ht="25" customHeight="1" x14ac:dyDescent="0.3">
      <c r="A235" s="3">
        <v>226</v>
      </c>
      <c r="B235" s="3" t="s">
        <v>1730</v>
      </c>
      <c r="C235" s="3" t="s">
        <v>1731</v>
      </c>
      <c r="D235" s="3" t="s">
        <v>1732</v>
      </c>
      <c r="E235" s="3">
        <v>25</v>
      </c>
      <c r="F235" s="3" t="s">
        <v>23</v>
      </c>
      <c r="G235" s="3" t="s">
        <v>24</v>
      </c>
      <c r="H235" s="3"/>
      <c r="I235" s="3"/>
      <c r="J235" s="25" t="s">
        <v>1733</v>
      </c>
      <c r="K235" s="3"/>
      <c r="L235" s="3"/>
      <c r="M235" s="20"/>
      <c r="N235" s="34"/>
      <c r="O235" s="3"/>
      <c r="P235" s="3">
        <v>1</v>
      </c>
      <c r="Q235" s="3"/>
      <c r="R235" s="3"/>
      <c r="S235" s="3"/>
    </row>
    <row r="236" spans="1:19" ht="25" customHeight="1" x14ac:dyDescent="0.3">
      <c r="A236" s="3">
        <v>227</v>
      </c>
      <c r="B236" s="3" t="s">
        <v>1735</v>
      </c>
      <c r="C236" s="3" t="s">
        <v>1734</v>
      </c>
      <c r="D236" s="3" t="s">
        <v>1736</v>
      </c>
      <c r="E236" s="3">
        <v>25</v>
      </c>
      <c r="F236" s="3" t="s">
        <v>23</v>
      </c>
      <c r="G236" s="3" t="s">
        <v>24</v>
      </c>
      <c r="H236" s="3"/>
      <c r="I236" s="3"/>
      <c r="J236" s="25" t="s">
        <v>1694</v>
      </c>
      <c r="K236" s="3"/>
      <c r="L236" s="3"/>
      <c r="M236" s="20"/>
      <c r="N236" s="34"/>
      <c r="O236" s="3"/>
      <c r="P236" s="3">
        <v>1</v>
      </c>
      <c r="Q236" s="3"/>
      <c r="R236" s="3"/>
      <c r="S236" s="3"/>
    </row>
    <row r="237" spans="1:19" ht="25" customHeight="1" x14ac:dyDescent="0.3">
      <c r="A237" s="3">
        <v>228</v>
      </c>
      <c r="B237" s="3" t="s">
        <v>1737</v>
      </c>
      <c r="C237" s="3" t="s">
        <v>1738</v>
      </c>
      <c r="D237" s="3" t="s">
        <v>1137</v>
      </c>
      <c r="E237" s="3">
        <v>23</v>
      </c>
      <c r="F237" s="3" t="s">
        <v>23</v>
      </c>
      <c r="G237" s="3" t="s">
        <v>24</v>
      </c>
      <c r="H237" s="3"/>
      <c r="I237" s="3"/>
      <c r="J237" s="25" t="s">
        <v>697</v>
      </c>
      <c r="K237" s="3"/>
      <c r="L237" s="3"/>
      <c r="M237" s="20"/>
      <c r="N237" s="34"/>
      <c r="O237" s="3"/>
      <c r="P237" s="3">
        <v>1</v>
      </c>
      <c r="Q237" s="3"/>
      <c r="R237" s="3"/>
      <c r="S237" s="3"/>
    </row>
    <row r="238" spans="1:19" ht="25" customHeight="1" x14ac:dyDescent="0.3">
      <c r="A238" s="3">
        <v>229</v>
      </c>
      <c r="B238" s="3" t="s">
        <v>1742</v>
      </c>
      <c r="C238" s="3" t="s">
        <v>212</v>
      </c>
      <c r="D238" s="3" t="s">
        <v>227</v>
      </c>
      <c r="E238" s="3">
        <v>23</v>
      </c>
      <c r="F238" s="3" t="s">
        <v>23</v>
      </c>
      <c r="G238" s="3" t="s">
        <v>29</v>
      </c>
      <c r="H238" s="3"/>
      <c r="I238" s="3"/>
      <c r="J238" s="25" t="s">
        <v>697</v>
      </c>
      <c r="K238" s="3"/>
      <c r="L238" s="3"/>
      <c r="M238" s="20"/>
      <c r="N238" s="34"/>
      <c r="O238" s="3">
        <v>1</v>
      </c>
      <c r="P238" s="3"/>
      <c r="Q238" s="3"/>
      <c r="R238" s="3"/>
      <c r="S238" s="3"/>
    </row>
    <row r="239" spans="1:19" ht="25" customHeight="1" x14ac:dyDescent="0.3">
      <c r="A239" s="3">
        <v>230</v>
      </c>
      <c r="B239" s="3" t="s">
        <v>1323</v>
      </c>
      <c r="C239" s="3" t="s">
        <v>1743</v>
      </c>
      <c r="D239" s="3" t="s">
        <v>1744</v>
      </c>
      <c r="E239" s="3">
        <v>27</v>
      </c>
      <c r="F239" s="3" t="s">
        <v>23</v>
      </c>
      <c r="G239" s="3" t="s">
        <v>29</v>
      </c>
      <c r="H239" s="3"/>
      <c r="I239" s="3"/>
      <c r="J239" s="25" t="s">
        <v>1745</v>
      </c>
      <c r="K239" s="3"/>
      <c r="L239" s="3"/>
      <c r="M239" s="20"/>
      <c r="N239" s="34"/>
      <c r="O239" s="3">
        <v>1</v>
      </c>
      <c r="P239" s="3"/>
      <c r="Q239" s="3"/>
      <c r="R239" s="3"/>
      <c r="S239" s="3"/>
    </row>
    <row r="240" spans="1:19" ht="25" customHeight="1" x14ac:dyDescent="0.3">
      <c r="A240" s="3">
        <v>231</v>
      </c>
      <c r="B240" s="3" t="s">
        <v>1746</v>
      </c>
      <c r="C240" s="3" t="s">
        <v>1747</v>
      </c>
      <c r="D240" s="3" t="s">
        <v>1748</v>
      </c>
      <c r="E240" s="3">
        <v>28</v>
      </c>
      <c r="F240" s="3" t="s">
        <v>23</v>
      </c>
      <c r="G240" s="3" t="s">
        <v>29</v>
      </c>
      <c r="H240" s="3"/>
      <c r="I240" s="3"/>
      <c r="J240" s="25" t="s">
        <v>1745</v>
      </c>
      <c r="K240" s="3"/>
      <c r="L240" s="3"/>
      <c r="M240" s="20"/>
      <c r="N240" s="34"/>
      <c r="O240" s="3">
        <v>1</v>
      </c>
      <c r="P240" s="3"/>
      <c r="Q240" s="3"/>
      <c r="R240" s="3"/>
      <c r="S240" s="3"/>
    </row>
    <row r="241" spans="1:19" ht="25" customHeight="1" x14ac:dyDescent="0.3">
      <c r="A241" s="3">
        <v>232</v>
      </c>
      <c r="B241" s="3" t="s">
        <v>1749</v>
      </c>
      <c r="C241" s="3" t="s">
        <v>1750</v>
      </c>
      <c r="D241" s="3" t="s">
        <v>1751</v>
      </c>
      <c r="E241" s="3">
        <v>25</v>
      </c>
      <c r="F241" s="3" t="s">
        <v>23</v>
      </c>
      <c r="G241" s="3" t="s">
        <v>24</v>
      </c>
      <c r="H241" s="3"/>
      <c r="I241" s="3"/>
      <c r="J241" s="25" t="s">
        <v>1752</v>
      </c>
      <c r="K241" s="3"/>
      <c r="L241" s="3"/>
      <c r="M241" s="20"/>
      <c r="N241" s="34"/>
      <c r="O241" s="3"/>
      <c r="P241" s="3">
        <v>1</v>
      </c>
      <c r="Q241" s="3"/>
      <c r="R241" s="3"/>
      <c r="S241" s="3"/>
    </row>
    <row r="242" spans="1:19" ht="25" customHeight="1" x14ac:dyDescent="0.3">
      <c r="A242" s="3">
        <v>233</v>
      </c>
      <c r="B242" s="3" t="s">
        <v>1753</v>
      </c>
      <c r="C242" s="3" t="s">
        <v>1634</v>
      </c>
      <c r="D242" s="3" t="s">
        <v>1754</v>
      </c>
      <c r="E242" s="3">
        <v>27</v>
      </c>
      <c r="F242" s="3" t="s">
        <v>23</v>
      </c>
      <c r="G242" s="3" t="s">
        <v>29</v>
      </c>
      <c r="H242" s="3"/>
      <c r="I242" s="3"/>
      <c r="J242" s="25" t="s">
        <v>1755</v>
      </c>
      <c r="K242" s="3"/>
      <c r="L242" s="3"/>
      <c r="M242" s="20"/>
      <c r="N242" s="34"/>
      <c r="O242" s="3">
        <v>1</v>
      </c>
      <c r="P242" s="3"/>
      <c r="Q242" s="3"/>
      <c r="R242" s="3"/>
      <c r="S242" s="3"/>
    </row>
    <row r="243" spans="1:19" ht="25" customHeight="1" x14ac:dyDescent="0.3">
      <c r="A243" s="3">
        <v>234</v>
      </c>
      <c r="B243" s="3" t="s">
        <v>1756</v>
      </c>
      <c r="C243" s="3" t="s">
        <v>522</v>
      </c>
      <c r="D243" s="3" t="s">
        <v>218</v>
      </c>
      <c r="E243" s="3">
        <v>29</v>
      </c>
      <c r="F243" s="3" t="s">
        <v>23</v>
      </c>
      <c r="G243" s="3" t="s">
        <v>24</v>
      </c>
      <c r="H243" s="3"/>
      <c r="I243" s="3"/>
      <c r="J243" s="25" t="s">
        <v>1757</v>
      </c>
      <c r="K243" s="3"/>
      <c r="L243" s="3"/>
      <c r="M243" s="20"/>
      <c r="N243" s="34"/>
      <c r="O243" s="3"/>
      <c r="P243" s="3">
        <v>1</v>
      </c>
      <c r="Q243" s="3"/>
      <c r="R243" s="3"/>
      <c r="S243" s="3"/>
    </row>
    <row r="244" spans="1:19" ht="25" customHeight="1" x14ac:dyDescent="0.3">
      <c r="A244" s="3">
        <v>235</v>
      </c>
      <c r="B244" s="3" t="s">
        <v>1758</v>
      </c>
      <c r="C244" s="3" t="s">
        <v>1080</v>
      </c>
      <c r="D244" s="3" t="s">
        <v>1080</v>
      </c>
      <c r="E244" s="3">
        <v>29</v>
      </c>
      <c r="F244" s="3" t="s">
        <v>23</v>
      </c>
      <c r="G244" s="3" t="s">
        <v>24</v>
      </c>
      <c r="H244" s="3"/>
      <c r="I244" s="3"/>
      <c r="J244" s="25" t="s">
        <v>1759</v>
      </c>
      <c r="K244" s="3"/>
      <c r="L244" s="3"/>
      <c r="M244" s="20"/>
      <c r="N244" s="34"/>
      <c r="O244" s="3"/>
      <c r="P244" s="3">
        <v>1</v>
      </c>
      <c r="Q244" s="3"/>
      <c r="R244" s="3"/>
      <c r="S244" s="3"/>
    </row>
    <row r="245" spans="1:19" ht="25" customHeight="1" x14ac:dyDescent="0.3">
      <c r="A245" s="3">
        <v>236</v>
      </c>
      <c r="B245" s="3" t="s">
        <v>1760</v>
      </c>
      <c r="C245" s="3" t="s">
        <v>1761</v>
      </c>
      <c r="D245" s="3" t="s">
        <v>1762</v>
      </c>
      <c r="E245" s="3">
        <v>30</v>
      </c>
      <c r="F245" s="3" t="s">
        <v>23</v>
      </c>
      <c r="G245" s="3" t="s">
        <v>29</v>
      </c>
      <c r="H245" s="3"/>
      <c r="I245" s="3"/>
      <c r="J245" s="25" t="s">
        <v>1763</v>
      </c>
      <c r="K245" s="3"/>
      <c r="L245" s="3"/>
      <c r="M245" s="20"/>
      <c r="N245" s="34"/>
      <c r="O245" s="3">
        <v>1</v>
      </c>
      <c r="P245" s="3"/>
      <c r="Q245" s="3"/>
      <c r="R245" s="3"/>
      <c r="S245" s="3"/>
    </row>
    <row r="246" spans="1:19" ht="25" customHeight="1" x14ac:dyDescent="0.3">
      <c r="A246" s="3">
        <v>237</v>
      </c>
      <c r="B246" s="3" t="s">
        <v>1766</v>
      </c>
      <c r="C246" s="3" t="s">
        <v>1764</v>
      </c>
      <c r="D246" s="3" t="s">
        <v>1765</v>
      </c>
      <c r="E246" s="3">
        <v>22</v>
      </c>
      <c r="F246" s="3" t="s">
        <v>23</v>
      </c>
      <c r="G246" s="3" t="s">
        <v>24</v>
      </c>
      <c r="H246" s="3"/>
      <c r="I246" s="3"/>
      <c r="J246" s="25" t="s">
        <v>1767</v>
      </c>
      <c r="K246" s="3"/>
      <c r="L246" s="3"/>
      <c r="M246" s="20"/>
      <c r="N246" s="34"/>
      <c r="O246" s="3"/>
      <c r="P246" s="3">
        <v>1</v>
      </c>
      <c r="Q246" s="3"/>
      <c r="R246" s="3"/>
      <c r="S246" s="3"/>
    </row>
    <row r="247" spans="1:19" ht="25" customHeight="1" x14ac:dyDescent="0.3">
      <c r="A247" s="3">
        <v>238</v>
      </c>
      <c r="B247" s="3" t="s">
        <v>1784</v>
      </c>
      <c r="C247" s="3" t="s">
        <v>96</v>
      </c>
      <c r="D247" s="3" t="s">
        <v>1785</v>
      </c>
      <c r="E247" s="3">
        <v>25</v>
      </c>
      <c r="F247" s="3" t="s">
        <v>23</v>
      </c>
      <c r="G247" s="3" t="s">
        <v>29</v>
      </c>
      <c r="H247" s="3"/>
      <c r="I247" s="3"/>
      <c r="J247" s="25" t="s">
        <v>1786</v>
      </c>
      <c r="K247" s="3"/>
      <c r="L247" s="3"/>
      <c r="M247" s="20"/>
      <c r="N247" s="34"/>
      <c r="O247" s="3">
        <v>1</v>
      </c>
      <c r="P247" s="3"/>
      <c r="Q247" s="3"/>
      <c r="R247" s="3"/>
      <c r="S247" s="3"/>
    </row>
    <row r="248" spans="1:19" ht="25" customHeight="1" x14ac:dyDescent="0.3">
      <c r="A248" s="3">
        <v>239</v>
      </c>
      <c r="B248" s="3" t="s">
        <v>1801</v>
      </c>
      <c r="C248" s="3" t="s">
        <v>722</v>
      </c>
      <c r="D248" s="3" t="s">
        <v>722</v>
      </c>
      <c r="E248" s="3">
        <v>32</v>
      </c>
      <c r="F248" s="3" t="s">
        <v>23</v>
      </c>
      <c r="G248" s="3" t="s">
        <v>24</v>
      </c>
      <c r="H248" s="3"/>
      <c r="I248" s="3"/>
      <c r="J248" s="25" t="s">
        <v>1802</v>
      </c>
      <c r="K248" s="3"/>
      <c r="L248" s="3"/>
      <c r="M248" s="20"/>
      <c r="N248" s="34"/>
      <c r="O248" s="3"/>
      <c r="P248" s="3">
        <v>1</v>
      </c>
      <c r="Q248" s="3"/>
      <c r="R248" s="3"/>
      <c r="S248" s="3"/>
    </row>
    <row r="249" spans="1:19" ht="25" customHeight="1" x14ac:dyDescent="0.3">
      <c r="A249" s="3">
        <v>240</v>
      </c>
      <c r="B249" s="3" t="s">
        <v>1818</v>
      </c>
      <c r="C249" s="3" t="s">
        <v>1819</v>
      </c>
      <c r="D249" s="3" t="s">
        <v>1820</v>
      </c>
      <c r="E249" s="3">
        <v>27</v>
      </c>
      <c r="F249" s="3" t="s">
        <v>23</v>
      </c>
      <c r="G249" s="3" t="s">
        <v>29</v>
      </c>
      <c r="H249" s="3"/>
      <c r="I249" s="3"/>
      <c r="J249" s="25" t="s">
        <v>1821</v>
      </c>
      <c r="K249" s="3"/>
      <c r="L249" s="3"/>
      <c r="M249" s="20"/>
      <c r="N249" s="34"/>
      <c r="O249" s="3">
        <v>1</v>
      </c>
      <c r="P249" s="3"/>
      <c r="Q249" s="3"/>
      <c r="R249" s="3"/>
      <c r="S249" s="3"/>
    </row>
    <row r="250" spans="1:19" ht="25" customHeight="1" x14ac:dyDescent="0.3">
      <c r="A250" s="3">
        <v>241</v>
      </c>
      <c r="B250" s="3" t="s">
        <v>1822</v>
      </c>
      <c r="C250" s="3" t="s">
        <v>775</v>
      </c>
      <c r="D250" s="3" t="s">
        <v>235</v>
      </c>
      <c r="E250" s="3">
        <v>31</v>
      </c>
      <c r="F250" s="3" t="s">
        <v>23</v>
      </c>
      <c r="G250" s="3" t="s">
        <v>29</v>
      </c>
      <c r="H250" s="3"/>
      <c r="I250" s="3"/>
      <c r="J250" s="25" t="s">
        <v>1529</v>
      </c>
      <c r="K250" s="3"/>
      <c r="L250" s="3"/>
      <c r="M250" s="20"/>
      <c r="N250" s="34"/>
      <c r="O250" s="3">
        <v>1</v>
      </c>
      <c r="P250" s="3"/>
      <c r="Q250" s="3"/>
      <c r="R250" s="3"/>
      <c r="S250" s="3"/>
    </row>
    <row r="251" spans="1:19" ht="25" customHeight="1" x14ac:dyDescent="0.3">
      <c r="A251" s="3">
        <v>242</v>
      </c>
      <c r="B251" s="3" t="s">
        <v>1160</v>
      </c>
      <c r="C251" s="3" t="s">
        <v>198</v>
      </c>
      <c r="D251" s="3" t="s">
        <v>1336</v>
      </c>
      <c r="E251" s="3">
        <v>32</v>
      </c>
      <c r="F251" s="3" t="s">
        <v>23</v>
      </c>
      <c r="G251" s="3" t="s">
        <v>29</v>
      </c>
      <c r="H251" s="3"/>
      <c r="I251" s="3"/>
      <c r="J251" s="25" t="s">
        <v>1823</v>
      </c>
      <c r="K251" s="3"/>
      <c r="L251" s="3"/>
      <c r="M251" s="20"/>
      <c r="N251" s="34"/>
      <c r="O251" s="3">
        <v>1</v>
      </c>
      <c r="P251" s="3"/>
      <c r="Q251" s="3"/>
      <c r="R251" s="3"/>
      <c r="S251" s="3"/>
    </row>
    <row r="252" spans="1:19" ht="25" customHeight="1" x14ac:dyDescent="0.3">
      <c r="A252" s="3">
        <v>243</v>
      </c>
      <c r="B252" s="3" t="s">
        <v>1303</v>
      </c>
      <c r="C252" s="3" t="s">
        <v>143</v>
      </c>
      <c r="D252" s="3" t="s">
        <v>1824</v>
      </c>
      <c r="E252" s="3">
        <v>27</v>
      </c>
      <c r="F252" s="3" t="s">
        <v>23</v>
      </c>
      <c r="G252" s="3" t="s">
        <v>24</v>
      </c>
      <c r="H252" s="3"/>
      <c r="I252" s="3"/>
      <c r="J252" s="25" t="s">
        <v>1825</v>
      </c>
      <c r="K252" s="3"/>
      <c r="L252" s="3"/>
      <c r="M252" s="20"/>
      <c r="N252" s="34"/>
      <c r="O252" s="3"/>
      <c r="P252" s="3">
        <v>1</v>
      </c>
      <c r="Q252" s="3"/>
      <c r="R252" s="3"/>
      <c r="S252" s="3"/>
    </row>
    <row r="253" spans="1:19" ht="25" customHeight="1" x14ac:dyDescent="0.3">
      <c r="A253" s="3">
        <v>244</v>
      </c>
      <c r="B253" s="3" t="s">
        <v>1826</v>
      </c>
      <c r="C253" s="3" t="s">
        <v>111</v>
      </c>
      <c r="D253" s="3" t="s">
        <v>222</v>
      </c>
      <c r="E253" s="3">
        <v>29</v>
      </c>
      <c r="F253" s="3" t="s">
        <v>23</v>
      </c>
      <c r="G253" s="3" t="s">
        <v>24</v>
      </c>
      <c r="H253" s="3"/>
      <c r="I253" s="3"/>
      <c r="J253" s="25" t="s">
        <v>1827</v>
      </c>
      <c r="K253" s="3"/>
      <c r="L253" s="3"/>
      <c r="M253" s="20"/>
      <c r="N253" s="34"/>
      <c r="O253" s="3"/>
      <c r="P253" s="3">
        <v>1</v>
      </c>
      <c r="Q253" s="3"/>
      <c r="R253" s="3"/>
      <c r="S253" s="3"/>
    </row>
    <row r="254" spans="1:19" ht="25" customHeight="1" x14ac:dyDescent="0.3">
      <c r="A254" s="3">
        <v>245</v>
      </c>
      <c r="B254" s="3" t="s">
        <v>1828</v>
      </c>
      <c r="C254" s="3" t="s">
        <v>1627</v>
      </c>
      <c r="D254" s="3" t="s">
        <v>799</v>
      </c>
      <c r="E254" s="3">
        <v>32</v>
      </c>
      <c r="F254" s="3" t="s">
        <v>23</v>
      </c>
      <c r="G254" s="3" t="s">
        <v>36</v>
      </c>
      <c r="H254" s="3"/>
      <c r="I254" s="3"/>
      <c r="J254" s="25" t="s">
        <v>1829</v>
      </c>
      <c r="K254" s="3"/>
      <c r="L254" s="3"/>
      <c r="M254" s="20"/>
      <c r="N254" s="34"/>
      <c r="O254" s="3"/>
      <c r="P254" s="3"/>
      <c r="Q254" s="3">
        <v>1</v>
      </c>
      <c r="R254" s="3"/>
      <c r="S254" s="3"/>
    </row>
    <row r="255" spans="1:19" ht="25" customHeight="1" x14ac:dyDescent="0.3">
      <c r="A255" s="3">
        <v>246</v>
      </c>
      <c r="B255" s="3" t="s">
        <v>1841</v>
      </c>
      <c r="C255" s="3" t="s">
        <v>1842</v>
      </c>
      <c r="D255" s="3" t="s">
        <v>993</v>
      </c>
      <c r="E255" s="3">
        <v>31</v>
      </c>
      <c r="F255" s="3" t="s">
        <v>23</v>
      </c>
      <c r="G255" s="3" t="s">
        <v>29</v>
      </c>
      <c r="H255" s="3"/>
      <c r="I255" s="3"/>
      <c r="J255" s="25" t="s">
        <v>1843</v>
      </c>
      <c r="K255" s="3"/>
      <c r="L255" s="3"/>
      <c r="M255" s="20"/>
      <c r="N255" s="34"/>
      <c r="O255" s="3">
        <v>1</v>
      </c>
      <c r="P255" s="3"/>
      <c r="Q255" s="3"/>
      <c r="R255" s="3"/>
      <c r="S255" s="3"/>
    </row>
    <row r="256" spans="1:19" ht="25" customHeight="1" x14ac:dyDescent="0.3">
      <c r="A256" s="3">
        <v>247</v>
      </c>
      <c r="B256" s="3" t="s">
        <v>1845</v>
      </c>
      <c r="C256" s="3" t="s">
        <v>969</v>
      </c>
      <c r="D256" s="3" t="s">
        <v>1846</v>
      </c>
      <c r="E256" s="3">
        <v>25</v>
      </c>
      <c r="F256" s="3" t="s">
        <v>23</v>
      </c>
      <c r="G256" s="3" t="s">
        <v>24</v>
      </c>
      <c r="H256" s="3"/>
      <c r="I256" s="3"/>
      <c r="J256" s="25" t="s">
        <v>1847</v>
      </c>
      <c r="K256" s="3"/>
      <c r="L256" s="3"/>
      <c r="M256" s="20"/>
      <c r="N256" s="34"/>
      <c r="O256" s="3"/>
      <c r="P256" s="3">
        <v>1</v>
      </c>
      <c r="Q256" s="3"/>
      <c r="R256" s="3"/>
      <c r="S256" s="3"/>
    </row>
    <row r="257" spans="1:19" ht="25" customHeight="1" x14ac:dyDescent="0.3">
      <c r="A257" s="3">
        <v>248</v>
      </c>
      <c r="B257" s="3" t="s">
        <v>1855</v>
      </c>
      <c r="C257" s="3" t="s">
        <v>713</v>
      </c>
      <c r="D257" s="3" t="s">
        <v>1856</v>
      </c>
      <c r="E257" s="3">
        <v>21</v>
      </c>
      <c r="F257" s="3" t="s">
        <v>23</v>
      </c>
      <c r="G257" s="3" t="s">
        <v>29</v>
      </c>
      <c r="H257" s="3"/>
      <c r="I257" s="3"/>
      <c r="J257" s="25" t="s">
        <v>1857</v>
      </c>
      <c r="K257" s="3"/>
      <c r="L257" s="3"/>
      <c r="M257" s="20"/>
      <c r="N257" s="34"/>
      <c r="O257" s="3">
        <v>1</v>
      </c>
      <c r="P257" s="3"/>
      <c r="Q257" s="3"/>
      <c r="R257" s="3"/>
      <c r="S257" s="3"/>
    </row>
    <row r="258" spans="1:19" ht="25" customHeight="1" x14ac:dyDescent="0.3">
      <c r="A258" s="3">
        <v>249</v>
      </c>
      <c r="B258" s="3" t="s">
        <v>1861</v>
      </c>
      <c r="C258" s="3" t="s">
        <v>1862</v>
      </c>
      <c r="D258" s="3" t="s">
        <v>1863</v>
      </c>
      <c r="E258" s="3">
        <v>32</v>
      </c>
      <c r="F258" s="3" t="s">
        <v>23</v>
      </c>
      <c r="G258" s="3" t="s">
        <v>29</v>
      </c>
      <c r="H258" s="3"/>
      <c r="I258" s="3"/>
      <c r="J258" s="25" t="s">
        <v>1864</v>
      </c>
      <c r="K258" s="3"/>
      <c r="L258" s="3"/>
      <c r="M258" s="20"/>
      <c r="N258" s="34"/>
      <c r="O258" s="3">
        <v>1</v>
      </c>
      <c r="P258" s="3"/>
      <c r="Q258" s="3"/>
      <c r="R258" s="3"/>
      <c r="S258" s="3"/>
    </row>
    <row r="259" spans="1:19" ht="25" customHeight="1" x14ac:dyDescent="0.3">
      <c r="A259" s="3">
        <v>250</v>
      </c>
      <c r="B259" s="3" t="s">
        <v>1871</v>
      </c>
      <c r="C259" s="3" t="s">
        <v>522</v>
      </c>
      <c r="D259" s="3" t="s">
        <v>1223</v>
      </c>
      <c r="E259" s="3">
        <v>28</v>
      </c>
      <c r="F259" s="3" t="s">
        <v>23</v>
      </c>
      <c r="G259" s="3" t="s">
        <v>36</v>
      </c>
      <c r="H259" s="3"/>
      <c r="I259" s="3"/>
      <c r="J259" s="25" t="s">
        <v>1872</v>
      </c>
      <c r="K259" s="3"/>
      <c r="L259" s="3"/>
      <c r="M259" s="20"/>
      <c r="N259" s="34"/>
      <c r="O259" s="3"/>
      <c r="P259" s="3"/>
      <c r="Q259" s="3">
        <v>1</v>
      </c>
      <c r="R259" s="3"/>
      <c r="S259" s="3"/>
    </row>
    <row r="260" spans="1:19" ht="25" customHeight="1" x14ac:dyDescent="0.3">
      <c r="A260" s="3">
        <v>251</v>
      </c>
      <c r="B260" s="3" t="s">
        <v>1873</v>
      </c>
      <c r="C260" s="3" t="s">
        <v>1874</v>
      </c>
      <c r="D260" s="3" t="s">
        <v>1875</v>
      </c>
      <c r="E260" s="3">
        <v>25</v>
      </c>
      <c r="F260" s="3" t="s">
        <v>23</v>
      </c>
      <c r="G260" s="3" t="s">
        <v>29</v>
      </c>
      <c r="H260" s="3"/>
      <c r="I260" s="3"/>
      <c r="J260" s="25" t="s">
        <v>1876</v>
      </c>
      <c r="K260" s="3"/>
      <c r="L260" s="3"/>
      <c r="M260" s="20"/>
      <c r="N260" s="34"/>
      <c r="O260" s="3">
        <v>1</v>
      </c>
      <c r="P260" s="3"/>
      <c r="Q260" s="3"/>
      <c r="R260" s="3"/>
      <c r="S260" s="3"/>
    </row>
    <row r="261" spans="1:19" ht="25" customHeight="1" x14ac:dyDescent="0.3">
      <c r="A261" s="3">
        <v>252</v>
      </c>
      <c r="B261" s="3" t="s">
        <v>1878</v>
      </c>
      <c r="C261" s="3" t="s">
        <v>970</v>
      </c>
      <c r="D261" s="3" t="s">
        <v>1879</v>
      </c>
      <c r="E261" s="3">
        <v>27</v>
      </c>
      <c r="F261" s="3" t="s">
        <v>23</v>
      </c>
      <c r="G261" s="3" t="s">
        <v>24</v>
      </c>
      <c r="H261" s="3"/>
      <c r="I261" s="3"/>
      <c r="J261" s="25" t="s">
        <v>1880</v>
      </c>
      <c r="K261" s="3"/>
      <c r="L261" s="3"/>
      <c r="M261" s="20"/>
      <c r="N261" s="34"/>
      <c r="O261" s="3"/>
      <c r="P261" s="3">
        <v>1</v>
      </c>
      <c r="Q261" s="3"/>
      <c r="R261" s="3"/>
      <c r="S261" s="3"/>
    </row>
    <row r="262" spans="1:19" ht="25" customHeight="1" x14ac:dyDescent="0.3">
      <c r="A262" s="3">
        <v>253</v>
      </c>
      <c r="B262" s="3" t="s">
        <v>1881</v>
      </c>
      <c r="C262" s="3" t="s">
        <v>1882</v>
      </c>
      <c r="D262" s="3" t="s">
        <v>1862</v>
      </c>
      <c r="E262" s="3">
        <v>32</v>
      </c>
      <c r="F262" s="3" t="s">
        <v>23</v>
      </c>
      <c r="G262" s="3" t="s">
        <v>29</v>
      </c>
      <c r="H262" s="3"/>
      <c r="I262" s="3"/>
      <c r="J262" s="25" t="s">
        <v>1883</v>
      </c>
      <c r="K262" s="3"/>
      <c r="L262" s="3"/>
      <c r="M262" s="20"/>
      <c r="N262" s="34"/>
      <c r="O262" s="3">
        <v>1</v>
      </c>
      <c r="P262" s="3"/>
      <c r="Q262" s="3"/>
      <c r="R262" s="3"/>
      <c r="S262" s="3"/>
    </row>
    <row r="263" spans="1:19" ht="25" customHeight="1" x14ac:dyDescent="0.3">
      <c r="A263" s="3">
        <v>254</v>
      </c>
      <c r="B263" s="3" t="s">
        <v>1894</v>
      </c>
      <c r="C263" s="3" t="s">
        <v>153</v>
      </c>
      <c r="D263" s="3" t="s">
        <v>201</v>
      </c>
      <c r="E263" s="3">
        <v>25</v>
      </c>
      <c r="F263" s="3" t="s">
        <v>23</v>
      </c>
      <c r="G263" s="3" t="s">
        <v>24</v>
      </c>
      <c r="H263" s="3"/>
      <c r="I263" s="3"/>
      <c r="J263" s="3" t="s">
        <v>1980</v>
      </c>
      <c r="K263" s="3"/>
      <c r="L263" s="3"/>
      <c r="M263" s="20"/>
      <c r="N263" s="34"/>
      <c r="O263" s="3"/>
      <c r="P263" s="3">
        <v>1</v>
      </c>
      <c r="Q263" s="3"/>
      <c r="R263" s="3"/>
      <c r="S263" s="3"/>
    </row>
    <row r="264" spans="1:19" ht="25" customHeight="1" x14ac:dyDescent="0.3">
      <c r="A264" s="3">
        <v>255</v>
      </c>
      <c r="B264" s="3" t="s">
        <v>1362</v>
      </c>
      <c r="C264" s="3" t="s">
        <v>558</v>
      </c>
      <c r="D264" s="3" t="s">
        <v>1895</v>
      </c>
      <c r="E264" s="3">
        <v>23</v>
      </c>
      <c r="F264" s="3" t="s">
        <v>23</v>
      </c>
      <c r="G264" s="3" t="s">
        <v>29</v>
      </c>
      <c r="H264" s="3"/>
      <c r="I264" s="3"/>
      <c r="J264" s="3" t="s">
        <v>1981</v>
      </c>
      <c r="K264" s="3"/>
      <c r="L264" s="3"/>
      <c r="M264" s="20"/>
      <c r="N264" s="34"/>
      <c r="O264" s="3">
        <v>1</v>
      </c>
      <c r="P264" s="3"/>
      <c r="Q264" s="3"/>
      <c r="R264" s="3"/>
      <c r="S264" s="3"/>
    </row>
    <row r="265" spans="1:19" ht="25" customHeight="1" x14ac:dyDescent="0.3">
      <c r="A265" s="3">
        <v>256</v>
      </c>
      <c r="B265" s="3" t="s">
        <v>1896</v>
      </c>
      <c r="C265" s="3" t="s">
        <v>433</v>
      </c>
      <c r="D265" s="3" t="s">
        <v>1288</v>
      </c>
      <c r="E265" s="3">
        <v>23</v>
      </c>
      <c r="F265" s="3" t="s">
        <v>23</v>
      </c>
      <c r="G265" s="3" t="s">
        <v>29</v>
      </c>
      <c r="H265" s="3"/>
      <c r="I265" s="3"/>
      <c r="J265" s="3" t="s">
        <v>1980</v>
      </c>
      <c r="K265" s="3"/>
      <c r="L265" s="3"/>
      <c r="M265" s="20"/>
      <c r="N265" s="34"/>
      <c r="O265" s="3">
        <v>1</v>
      </c>
      <c r="P265" s="3"/>
      <c r="Q265" s="3"/>
      <c r="R265" s="3"/>
      <c r="S265" s="3"/>
    </row>
    <row r="266" spans="1:19" ht="25" customHeight="1" x14ac:dyDescent="0.3">
      <c r="A266" s="3">
        <v>257</v>
      </c>
      <c r="B266" s="3" t="s">
        <v>1303</v>
      </c>
      <c r="C266" s="3" t="s">
        <v>186</v>
      </c>
      <c r="D266" s="3" t="s">
        <v>357</v>
      </c>
      <c r="E266" s="3" t="s">
        <v>1897</v>
      </c>
      <c r="F266" s="3" t="s">
        <v>23</v>
      </c>
      <c r="G266" s="3" t="s">
        <v>24</v>
      </c>
      <c r="H266" s="3"/>
      <c r="I266" s="3"/>
      <c r="J266" s="3" t="s">
        <v>1982</v>
      </c>
      <c r="K266" s="3"/>
      <c r="L266" s="3"/>
      <c r="M266" s="20"/>
      <c r="N266" s="34"/>
      <c r="O266" s="3"/>
      <c r="P266" s="3">
        <v>1</v>
      </c>
      <c r="Q266" s="3"/>
      <c r="R266" s="3"/>
      <c r="S266" s="3"/>
    </row>
    <row r="267" spans="1:19" ht="25" customHeight="1" x14ac:dyDescent="0.3">
      <c r="A267" s="3">
        <v>258</v>
      </c>
      <c r="B267" s="3" t="s">
        <v>1898</v>
      </c>
      <c r="C267" s="3" t="s">
        <v>306</v>
      </c>
      <c r="D267" s="3" t="s">
        <v>174</v>
      </c>
      <c r="E267" s="3" t="s">
        <v>1899</v>
      </c>
      <c r="F267" s="3" t="s">
        <v>23</v>
      </c>
      <c r="G267" s="3" t="s">
        <v>24</v>
      </c>
      <c r="H267" s="3"/>
      <c r="I267" s="3"/>
      <c r="J267" s="3" t="s">
        <v>1982</v>
      </c>
      <c r="K267" s="3"/>
      <c r="L267" s="3"/>
      <c r="M267" s="20"/>
      <c r="N267" s="34"/>
      <c r="O267" s="3"/>
      <c r="P267" s="3">
        <v>1</v>
      </c>
      <c r="Q267" s="3"/>
      <c r="R267" s="3"/>
      <c r="S267" s="3"/>
    </row>
    <row r="268" spans="1:19" ht="25" customHeight="1" x14ac:dyDescent="0.3">
      <c r="A268" s="3">
        <v>259</v>
      </c>
      <c r="B268" s="3" t="s">
        <v>1027</v>
      </c>
      <c r="C268" s="3" t="s">
        <v>96</v>
      </c>
      <c r="D268" s="3" t="s">
        <v>941</v>
      </c>
      <c r="E268" s="3" t="s">
        <v>1900</v>
      </c>
      <c r="F268" s="3" t="s">
        <v>23</v>
      </c>
      <c r="G268" s="3" t="s">
        <v>24</v>
      </c>
      <c r="H268" s="3"/>
      <c r="I268" s="3"/>
      <c r="J268" s="3" t="s">
        <v>1982</v>
      </c>
      <c r="K268" s="3"/>
      <c r="L268" s="3"/>
      <c r="M268" s="20"/>
      <c r="N268" s="34"/>
      <c r="O268" s="3"/>
      <c r="P268" s="3">
        <v>1</v>
      </c>
      <c r="Q268" s="3"/>
      <c r="R268" s="3"/>
      <c r="S268" s="3"/>
    </row>
    <row r="269" spans="1:19" ht="25" customHeight="1" x14ac:dyDescent="0.3">
      <c r="A269" s="3">
        <v>260</v>
      </c>
      <c r="B269" s="3" t="s">
        <v>1901</v>
      </c>
      <c r="C269" s="3" t="s">
        <v>1481</v>
      </c>
      <c r="D269" s="3" t="s">
        <v>91</v>
      </c>
      <c r="E269" s="3" t="s">
        <v>1902</v>
      </c>
      <c r="F269" s="3" t="s">
        <v>23</v>
      </c>
      <c r="G269" s="3" t="s">
        <v>24</v>
      </c>
      <c r="H269" s="3"/>
      <c r="I269" s="3"/>
      <c r="J269" s="3" t="s">
        <v>1982</v>
      </c>
      <c r="K269" s="3"/>
      <c r="L269" s="3"/>
      <c r="M269" s="20"/>
      <c r="N269" s="34"/>
      <c r="O269" s="3"/>
      <c r="P269" s="3">
        <v>1</v>
      </c>
      <c r="Q269" s="3"/>
      <c r="R269" s="3"/>
      <c r="S269" s="3"/>
    </row>
    <row r="270" spans="1:19" ht="25" customHeight="1" x14ac:dyDescent="0.3">
      <c r="A270" s="3">
        <v>261</v>
      </c>
      <c r="B270" s="3" t="s">
        <v>1903</v>
      </c>
      <c r="C270" s="3" t="s">
        <v>306</v>
      </c>
      <c r="D270" s="3" t="s">
        <v>1904</v>
      </c>
      <c r="E270" s="3" t="s">
        <v>1905</v>
      </c>
      <c r="F270" s="3" t="s">
        <v>23</v>
      </c>
      <c r="G270" s="3" t="s">
        <v>29</v>
      </c>
      <c r="H270" s="3"/>
      <c r="I270" s="3"/>
      <c r="J270" s="3" t="s">
        <v>1982</v>
      </c>
      <c r="K270" s="3"/>
      <c r="L270" s="3"/>
      <c r="M270" s="20"/>
      <c r="N270" s="34"/>
      <c r="O270" s="3">
        <v>1</v>
      </c>
      <c r="P270" s="3"/>
      <c r="Q270" s="3"/>
      <c r="R270" s="3"/>
      <c r="S270" s="3"/>
    </row>
    <row r="271" spans="1:19" ht="25" customHeight="1" x14ac:dyDescent="0.3">
      <c r="A271" s="3">
        <v>262</v>
      </c>
      <c r="B271" s="3" t="s">
        <v>1906</v>
      </c>
      <c r="C271" s="3" t="s">
        <v>86</v>
      </c>
      <c r="D271" s="3" t="s">
        <v>1907</v>
      </c>
      <c r="E271" s="3" t="s">
        <v>1908</v>
      </c>
      <c r="F271" s="3" t="s">
        <v>23</v>
      </c>
      <c r="G271" s="3" t="s">
        <v>29</v>
      </c>
      <c r="H271" s="3"/>
      <c r="I271" s="3"/>
      <c r="J271" s="3" t="s">
        <v>1982</v>
      </c>
      <c r="K271" s="3"/>
      <c r="L271" s="3"/>
      <c r="M271" s="20"/>
      <c r="N271" s="34"/>
      <c r="O271" s="3">
        <v>1</v>
      </c>
      <c r="P271" s="3"/>
      <c r="Q271" s="3"/>
      <c r="R271" s="3"/>
      <c r="S271" s="3"/>
    </row>
    <row r="272" spans="1:19" ht="25" customHeight="1" x14ac:dyDescent="0.3">
      <c r="A272" s="3">
        <v>263</v>
      </c>
      <c r="B272" s="3" t="s">
        <v>1909</v>
      </c>
      <c r="C272" s="3" t="s">
        <v>840</v>
      </c>
      <c r="D272" s="3" t="s">
        <v>1910</v>
      </c>
      <c r="E272" s="3">
        <v>30</v>
      </c>
      <c r="F272" s="3" t="s">
        <v>23</v>
      </c>
      <c r="G272" s="3" t="s">
        <v>24</v>
      </c>
      <c r="H272" s="3"/>
      <c r="I272" s="3"/>
      <c r="J272" s="3" t="s">
        <v>1983</v>
      </c>
      <c r="K272" s="3"/>
      <c r="L272" s="3"/>
      <c r="M272" s="20"/>
      <c r="N272" s="34"/>
      <c r="O272" s="3"/>
      <c r="P272" s="3">
        <v>1</v>
      </c>
      <c r="Q272" s="3"/>
      <c r="R272" s="3"/>
      <c r="S272" s="3"/>
    </row>
    <row r="273" spans="1:19" ht="25" customHeight="1" x14ac:dyDescent="0.3">
      <c r="A273" s="3">
        <v>264</v>
      </c>
      <c r="B273" s="3" t="s">
        <v>1911</v>
      </c>
      <c r="C273" s="3" t="s">
        <v>1912</v>
      </c>
      <c r="D273" s="3" t="s">
        <v>1913</v>
      </c>
      <c r="E273" s="3">
        <v>22</v>
      </c>
      <c r="F273" s="3" t="s">
        <v>23</v>
      </c>
      <c r="G273" s="3" t="s">
        <v>29</v>
      </c>
      <c r="H273" s="3"/>
      <c r="I273" s="3"/>
      <c r="J273" s="3" t="s">
        <v>952</v>
      </c>
      <c r="K273" s="3"/>
      <c r="L273" s="3"/>
      <c r="M273" s="20"/>
      <c r="N273" s="34"/>
      <c r="O273" s="3">
        <v>1</v>
      </c>
      <c r="P273" s="3"/>
      <c r="Q273" s="3"/>
      <c r="R273" s="3"/>
      <c r="S273" s="3"/>
    </row>
    <row r="274" spans="1:19" ht="25" customHeight="1" x14ac:dyDescent="0.3">
      <c r="A274" s="3">
        <v>265</v>
      </c>
      <c r="B274" s="3" t="s">
        <v>1914</v>
      </c>
      <c r="C274" s="3" t="s">
        <v>558</v>
      </c>
      <c r="D274" s="3" t="s">
        <v>163</v>
      </c>
      <c r="E274" s="3">
        <v>30</v>
      </c>
      <c r="F274" s="3" t="s">
        <v>23</v>
      </c>
      <c r="G274" s="3" t="s">
        <v>24</v>
      </c>
      <c r="H274" s="3"/>
      <c r="I274" s="3"/>
      <c r="J274" s="3" t="s">
        <v>565</v>
      </c>
      <c r="K274" s="3"/>
      <c r="L274" s="3"/>
      <c r="M274" s="20"/>
      <c r="N274" s="34"/>
      <c r="O274" s="3"/>
      <c r="P274" s="3">
        <v>1</v>
      </c>
      <c r="Q274" s="3"/>
      <c r="R274" s="3"/>
      <c r="S274" s="3"/>
    </row>
    <row r="275" spans="1:19" ht="25" customHeight="1" x14ac:dyDescent="0.3">
      <c r="A275" s="3">
        <v>266</v>
      </c>
      <c r="B275" s="3" t="s">
        <v>1915</v>
      </c>
      <c r="C275" s="3" t="s">
        <v>1916</v>
      </c>
      <c r="D275" s="3" t="s">
        <v>1916</v>
      </c>
      <c r="E275" s="3">
        <v>32</v>
      </c>
      <c r="F275" s="3" t="s">
        <v>23</v>
      </c>
      <c r="G275" s="3" t="s">
        <v>24</v>
      </c>
      <c r="H275" s="3"/>
      <c r="I275" s="3"/>
      <c r="J275" s="3" t="s">
        <v>1984</v>
      </c>
      <c r="K275" s="3"/>
      <c r="L275" s="3"/>
      <c r="M275" s="20"/>
      <c r="N275" s="34"/>
      <c r="O275" s="3"/>
      <c r="P275" s="3">
        <v>1</v>
      </c>
      <c r="Q275" s="3"/>
      <c r="R275" s="3"/>
      <c r="S275" s="3"/>
    </row>
    <row r="276" spans="1:19" ht="25" customHeight="1" x14ac:dyDescent="0.3">
      <c r="A276" s="3">
        <v>267</v>
      </c>
      <c r="B276" s="3" t="s">
        <v>1362</v>
      </c>
      <c r="C276" s="3" t="s">
        <v>111</v>
      </c>
      <c r="D276" s="3" t="s">
        <v>109</v>
      </c>
      <c r="E276" s="3">
        <v>26</v>
      </c>
      <c r="F276" s="3" t="s">
        <v>23</v>
      </c>
      <c r="G276" s="3" t="s">
        <v>36</v>
      </c>
      <c r="H276" s="3"/>
      <c r="I276" s="3"/>
      <c r="J276" s="3" t="s">
        <v>1985</v>
      </c>
      <c r="K276" s="3"/>
      <c r="L276" s="3"/>
      <c r="M276" s="20"/>
      <c r="N276" s="34"/>
      <c r="O276" s="3"/>
      <c r="P276" s="3"/>
      <c r="Q276" s="3">
        <v>1</v>
      </c>
      <c r="R276" s="3"/>
      <c r="S276" s="3"/>
    </row>
    <row r="277" spans="1:19" ht="25" customHeight="1" x14ac:dyDescent="0.3">
      <c r="A277" s="3">
        <v>268</v>
      </c>
      <c r="B277" s="3" t="s">
        <v>1917</v>
      </c>
      <c r="C277" s="3" t="s">
        <v>146</v>
      </c>
      <c r="D277" s="3" t="s">
        <v>43</v>
      </c>
      <c r="E277" s="3">
        <v>24</v>
      </c>
      <c r="F277" s="3" t="s">
        <v>23</v>
      </c>
      <c r="G277" s="3" t="s">
        <v>24</v>
      </c>
      <c r="H277" s="3"/>
      <c r="I277" s="3"/>
      <c r="J277" s="3" t="s">
        <v>952</v>
      </c>
      <c r="K277" s="3"/>
      <c r="L277" s="3"/>
      <c r="M277" s="20"/>
      <c r="N277" s="34"/>
      <c r="O277" s="3"/>
      <c r="P277" s="3">
        <v>1</v>
      </c>
      <c r="Q277" s="3"/>
      <c r="R277" s="3"/>
      <c r="S277" s="3"/>
    </row>
    <row r="278" spans="1:19" ht="25" customHeight="1" x14ac:dyDescent="0.3">
      <c r="A278" s="3">
        <v>269</v>
      </c>
      <c r="B278" s="3" t="s">
        <v>1918</v>
      </c>
      <c r="C278" s="3" t="s">
        <v>228</v>
      </c>
      <c r="D278" s="3" t="s">
        <v>357</v>
      </c>
      <c r="E278" s="3">
        <v>29</v>
      </c>
      <c r="F278" s="3" t="s">
        <v>23</v>
      </c>
      <c r="G278" s="3" t="s">
        <v>29</v>
      </c>
      <c r="H278" s="3"/>
      <c r="I278" s="3"/>
      <c r="J278" s="3" t="s">
        <v>406</v>
      </c>
      <c r="K278" s="3"/>
      <c r="L278" s="3"/>
      <c r="M278" s="20"/>
      <c r="N278" s="34"/>
      <c r="O278" s="3">
        <v>1</v>
      </c>
      <c r="P278" s="3"/>
      <c r="Q278" s="3"/>
      <c r="R278" s="3"/>
      <c r="S278" s="3"/>
    </row>
    <row r="279" spans="1:19" ht="25" customHeight="1" x14ac:dyDescent="0.3">
      <c r="A279" s="3">
        <v>270</v>
      </c>
      <c r="B279" s="3" t="s">
        <v>1919</v>
      </c>
      <c r="C279" s="3" t="s">
        <v>228</v>
      </c>
      <c r="D279" s="3" t="s">
        <v>111</v>
      </c>
      <c r="E279" s="3">
        <v>31</v>
      </c>
      <c r="F279" s="3" t="s">
        <v>23</v>
      </c>
      <c r="G279" s="3" t="s">
        <v>24</v>
      </c>
      <c r="H279" s="3"/>
      <c r="I279" s="3"/>
      <c r="J279" s="3" t="s">
        <v>1420</v>
      </c>
      <c r="K279" s="3"/>
      <c r="L279" s="3"/>
      <c r="M279" s="20"/>
      <c r="N279" s="34"/>
      <c r="O279" s="3"/>
      <c r="P279" s="3">
        <v>1</v>
      </c>
      <c r="Q279" s="3"/>
      <c r="R279" s="3"/>
      <c r="S279" s="3"/>
    </row>
    <row r="280" spans="1:19" ht="25" customHeight="1" x14ac:dyDescent="0.3">
      <c r="A280" s="3">
        <v>271</v>
      </c>
      <c r="B280" s="3" t="s">
        <v>1920</v>
      </c>
      <c r="C280" s="3" t="s">
        <v>1921</v>
      </c>
      <c r="D280" s="3" t="s">
        <v>222</v>
      </c>
      <c r="E280" s="3">
        <v>24</v>
      </c>
      <c r="F280" s="3" t="s">
        <v>23</v>
      </c>
      <c r="G280" s="3" t="s">
        <v>29</v>
      </c>
      <c r="H280" s="3"/>
      <c r="I280" s="3"/>
      <c r="J280" s="3" t="s">
        <v>1348</v>
      </c>
      <c r="K280" s="3"/>
      <c r="L280" s="3"/>
      <c r="M280" s="20"/>
      <c r="N280" s="34"/>
      <c r="O280" s="3">
        <v>1</v>
      </c>
      <c r="P280" s="3"/>
      <c r="Q280" s="3"/>
      <c r="R280" s="3"/>
      <c r="S280" s="3"/>
    </row>
    <row r="281" spans="1:19" ht="25" customHeight="1" x14ac:dyDescent="0.3">
      <c r="A281" s="3">
        <v>272</v>
      </c>
      <c r="B281" s="3" t="s">
        <v>1922</v>
      </c>
      <c r="C281" s="3" t="s">
        <v>395</v>
      </c>
      <c r="D281" s="3" t="s">
        <v>111</v>
      </c>
      <c r="E281" s="3">
        <v>23</v>
      </c>
      <c r="F281" s="3" t="s">
        <v>23</v>
      </c>
      <c r="G281" s="3" t="s">
        <v>29</v>
      </c>
      <c r="H281" s="3"/>
      <c r="I281" s="3"/>
      <c r="J281" s="3" t="s">
        <v>1986</v>
      </c>
      <c r="K281" s="3"/>
      <c r="L281" s="3"/>
      <c r="M281" s="20"/>
      <c r="N281" s="34"/>
      <c r="O281" s="3">
        <v>1</v>
      </c>
      <c r="P281" s="3"/>
      <c r="Q281" s="3"/>
      <c r="R281" s="3"/>
      <c r="S281" s="3"/>
    </row>
    <row r="282" spans="1:19" ht="25" customHeight="1" x14ac:dyDescent="0.3">
      <c r="A282" s="3">
        <v>273</v>
      </c>
      <c r="B282" s="3" t="s">
        <v>1923</v>
      </c>
      <c r="C282" s="3" t="s">
        <v>1702</v>
      </c>
      <c r="D282" s="3" t="s">
        <v>1467</v>
      </c>
      <c r="E282" s="3">
        <v>26</v>
      </c>
      <c r="F282" s="3" t="s">
        <v>23</v>
      </c>
      <c r="G282" s="3" t="s">
        <v>461</v>
      </c>
      <c r="H282" s="3"/>
      <c r="I282" s="3"/>
      <c r="J282" s="3" t="s">
        <v>952</v>
      </c>
      <c r="K282" s="3"/>
      <c r="L282" s="3"/>
      <c r="M282" s="20"/>
      <c r="N282" s="34"/>
      <c r="O282" s="3">
        <v>1</v>
      </c>
      <c r="P282" s="3"/>
      <c r="Q282" s="3"/>
      <c r="R282" s="3"/>
      <c r="S282" s="3"/>
    </row>
    <row r="283" spans="1:19" ht="25" customHeight="1" x14ac:dyDescent="0.3">
      <c r="A283" s="3">
        <v>274</v>
      </c>
      <c r="B283" s="3" t="s">
        <v>1924</v>
      </c>
      <c r="C283" s="3" t="s">
        <v>149</v>
      </c>
      <c r="D283" s="3" t="s">
        <v>408</v>
      </c>
      <c r="E283" s="3">
        <v>26</v>
      </c>
      <c r="F283" s="3" t="s">
        <v>23</v>
      </c>
      <c r="G283" s="3" t="s">
        <v>29</v>
      </c>
      <c r="H283" s="3"/>
      <c r="I283" s="3"/>
      <c r="J283" s="3" t="s">
        <v>1987</v>
      </c>
      <c r="K283" s="3"/>
      <c r="L283" s="3"/>
      <c r="M283" s="20"/>
      <c r="N283" s="34"/>
      <c r="O283" s="3">
        <v>1</v>
      </c>
      <c r="P283" s="3"/>
      <c r="Q283" s="3"/>
      <c r="R283" s="3"/>
      <c r="S283" s="3"/>
    </row>
    <row r="284" spans="1:19" ht="25" customHeight="1" x14ac:dyDescent="0.3">
      <c r="A284" s="3">
        <v>275</v>
      </c>
      <c r="B284" s="3" t="s">
        <v>1925</v>
      </c>
      <c r="C284" s="3" t="s">
        <v>377</v>
      </c>
      <c r="D284" s="3" t="s">
        <v>201</v>
      </c>
      <c r="E284" s="3">
        <v>31</v>
      </c>
      <c r="F284" s="3" t="s">
        <v>23</v>
      </c>
      <c r="G284" s="3" t="s">
        <v>36</v>
      </c>
      <c r="H284" s="3"/>
      <c r="I284" s="3"/>
      <c r="J284" s="3" t="s">
        <v>1420</v>
      </c>
      <c r="K284" s="3"/>
      <c r="L284" s="3"/>
      <c r="M284" s="20"/>
      <c r="N284" s="34"/>
      <c r="O284" s="3"/>
      <c r="P284" s="3"/>
      <c r="Q284" s="3">
        <v>1</v>
      </c>
      <c r="R284" s="3"/>
      <c r="S284" s="3"/>
    </row>
    <row r="285" spans="1:19" ht="25" customHeight="1" x14ac:dyDescent="0.3">
      <c r="A285" s="3">
        <v>276</v>
      </c>
      <c r="B285" s="3" t="s">
        <v>1926</v>
      </c>
      <c r="C285" s="3" t="s">
        <v>203</v>
      </c>
      <c r="D285" s="3" t="s">
        <v>27</v>
      </c>
      <c r="E285" s="3">
        <v>28</v>
      </c>
      <c r="F285" s="3" t="s">
        <v>23</v>
      </c>
      <c r="G285" s="3" t="s">
        <v>29</v>
      </c>
      <c r="H285" s="3"/>
      <c r="I285" s="3"/>
      <c r="J285" s="3" t="s">
        <v>1988</v>
      </c>
      <c r="K285" s="3"/>
      <c r="L285" s="3"/>
      <c r="M285" s="20"/>
      <c r="N285" s="34"/>
      <c r="O285" s="3">
        <v>1</v>
      </c>
      <c r="P285" s="3"/>
      <c r="Q285" s="3"/>
      <c r="R285" s="3"/>
      <c r="S285" s="3"/>
    </row>
    <row r="286" spans="1:19" ht="25" customHeight="1" x14ac:dyDescent="0.3">
      <c r="A286" s="3">
        <v>277</v>
      </c>
      <c r="B286" s="3" t="s">
        <v>1927</v>
      </c>
      <c r="C286" s="3" t="s">
        <v>1928</v>
      </c>
      <c r="D286" s="3" t="s">
        <v>1929</v>
      </c>
      <c r="E286" s="3">
        <v>31</v>
      </c>
      <c r="F286" s="3" t="s">
        <v>23</v>
      </c>
      <c r="G286" s="3" t="s">
        <v>36</v>
      </c>
      <c r="H286" s="3"/>
      <c r="I286" s="3"/>
      <c r="J286" s="3" t="s">
        <v>1980</v>
      </c>
      <c r="K286" s="3"/>
      <c r="L286" s="3"/>
      <c r="M286" s="20"/>
      <c r="N286" s="34"/>
      <c r="O286" s="3"/>
      <c r="P286" s="3"/>
      <c r="Q286" s="3">
        <v>1</v>
      </c>
      <c r="R286" s="3"/>
      <c r="S286" s="3"/>
    </row>
    <row r="287" spans="1:19" ht="25" customHeight="1" x14ac:dyDescent="0.3">
      <c r="A287" s="3">
        <v>278</v>
      </c>
      <c r="B287" s="3" t="s">
        <v>1930</v>
      </c>
      <c r="C287" s="3" t="s">
        <v>908</v>
      </c>
      <c r="D287" s="3" t="s">
        <v>311</v>
      </c>
      <c r="E287" s="3">
        <v>35</v>
      </c>
      <c r="F287" s="3" t="s">
        <v>23</v>
      </c>
      <c r="G287" s="3" t="s">
        <v>36</v>
      </c>
      <c r="H287" s="3"/>
      <c r="I287" s="3"/>
      <c r="J287" s="3" t="s">
        <v>1989</v>
      </c>
      <c r="K287" s="3"/>
      <c r="L287" s="3"/>
      <c r="M287" s="20"/>
      <c r="N287" s="34"/>
      <c r="O287" s="3"/>
      <c r="P287" s="3"/>
      <c r="Q287" s="3">
        <v>1</v>
      </c>
      <c r="R287" s="3"/>
      <c r="S287" s="3"/>
    </row>
    <row r="288" spans="1:19" ht="25" customHeight="1" x14ac:dyDescent="0.3">
      <c r="A288" s="3">
        <v>279</v>
      </c>
      <c r="B288" s="3" t="s">
        <v>609</v>
      </c>
      <c r="C288" s="3" t="s">
        <v>21</v>
      </c>
      <c r="D288" s="3" t="s">
        <v>85</v>
      </c>
      <c r="E288" s="3">
        <v>29</v>
      </c>
      <c r="F288" s="3" t="s">
        <v>23</v>
      </c>
      <c r="G288" s="3" t="s">
        <v>24</v>
      </c>
      <c r="H288" s="3"/>
      <c r="I288" s="3"/>
      <c r="J288" s="3" t="s">
        <v>1990</v>
      </c>
      <c r="K288" s="3"/>
      <c r="L288" s="3"/>
      <c r="M288" s="20"/>
      <c r="N288" s="34"/>
      <c r="O288" s="3"/>
      <c r="P288" s="3">
        <v>1</v>
      </c>
      <c r="Q288" s="3"/>
      <c r="R288" s="3"/>
      <c r="S288" s="3"/>
    </row>
    <row r="289" spans="1:19" ht="25" customHeight="1" x14ac:dyDescent="0.3">
      <c r="A289" s="3">
        <v>280</v>
      </c>
      <c r="B289" s="3" t="s">
        <v>1931</v>
      </c>
      <c r="C289" s="3" t="s">
        <v>854</v>
      </c>
      <c r="D289" s="3" t="s">
        <v>306</v>
      </c>
      <c r="E289" s="3">
        <v>27</v>
      </c>
      <c r="F289" s="3" t="s">
        <v>23</v>
      </c>
      <c r="G289" s="3" t="s">
        <v>29</v>
      </c>
      <c r="H289" s="3"/>
      <c r="I289" s="3"/>
      <c r="J289" s="3" t="s">
        <v>1991</v>
      </c>
      <c r="K289" s="3"/>
      <c r="L289" s="3"/>
      <c r="M289" s="20"/>
      <c r="N289" s="34"/>
      <c r="O289" s="3">
        <v>1</v>
      </c>
      <c r="P289" s="3"/>
      <c r="Q289" s="3"/>
      <c r="R289" s="3"/>
      <c r="S289" s="3"/>
    </row>
    <row r="290" spans="1:19" ht="25" customHeight="1" x14ac:dyDescent="0.3">
      <c r="A290" s="3">
        <v>281</v>
      </c>
      <c r="B290" s="3" t="s">
        <v>1932</v>
      </c>
      <c r="C290" s="3" t="s">
        <v>1608</v>
      </c>
      <c r="D290" s="3" t="s">
        <v>1281</v>
      </c>
      <c r="E290" s="3">
        <v>30</v>
      </c>
      <c r="F290" s="3" t="s">
        <v>23</v>
      </c>
      <c r="G290" s="3" t="s">
        <v>29</v>
      </c>
      <c r="H290" s="3"/>
      <c r="I290" s="3"/>
      <c r="J290" s="3" t="s">
        <v>1991</v>
      </c>
      <c r="K290" s="3"/>
      <c r="L290" s="3"/>
      <c r="M290" s="20"/>
      <c r="N290" s="34"/>
      <c r="O290" s="3">
        <v>1</v>
      </c>
      <c r="P290" s="3"/>
      <c r="Q290" s="3"/>
      <c r="R290" s="3"/>
      <c r="S290" s="3"/>
    </row>
    <row r="291" spans="1:19" ht="25" customHeight="1" x14ac:dyDescent="0.3">
      <c r="A291" s="3">
        <v>282</v>
      </c>
      <c r="B291" s="3" t="s">
        <v>1933</v>
      </c>
      <c r="C291" s="3" t="s">
        <v>1934</v>
      </c>
      <c r="D291" s="3" t="s">
        <v>109</v>
      </c>
      <c r="E291" s="3">
        <v>25</v>
      </c>
      <c r="F291" s="3" t="s">
        <v>23</v>
      </c>
      <c r="G291" s="3" t="s">
        <v>29</v>
      </c>
      <c r="H291" s="3"/>
      <c r="I291" s="3"/>
      <c r="J291" s="3" t="s">
        <v>1991</v>
      </c>
      <c r="K291" s="3"/>
      <c r="L291" s="3"/>
      <c r="M291" s="20"/>
      <c r="N291" s="34"/>
      <c r="O291" s="3">
        <v>1</v>
      </c>
      <c r="P291" s="3"/>
      <c r="Q291" s="3"/>
      <c r="R291" s="3"/>
      <c r="S291" s="3"/>
    </row>
    <row r="292" spans="1:19" ht="25" customHeight="1" x14ac:dyDescent="0.3">
      <c r="A292" s="3">
        <v>283</v>
      </c>
      <c r="B292" s="3" t="s">
        <v>1935</v>
      </c>
      <c r="C292" s="3" t="s">
        <v>1936</v>
      </c>
      <c r="D292" s="3" t="s">
        <v>21</v>
      </c>
      <c r="E292" s="3">
        <v>27</v>
      </c>
      <c r="F292" s="3" t="s">
        <v>23</v>
      </c>
      <c r="G292" s="3" t="s">
        <v>29</v>
      </c>
      <c r="H292" s="3"/>
      <c r="I292" s="3"/>
      <c r="J292" s="3" t="s">
        <v>1991</v>
      </c>
      <c r="K292" s="3"/>
      <c r="L292" s="3"/>
      <c r="M292" s="20"/>
      <c r="N292" s="34"/>
      <c r="O292" s="3">
        <v>1</v>
      </c>
      <c r="P292" s="3"/>
      <c r="Q292" s="3"/>
      <c r="R292" s="3"/>
      <c r="S292" s="3"/>
    </row>
    <row r="293" spans="1:19" ht="25" customHeight="1" x14ac:dyDescent="0.3">
      <c r="A293" s="3">
        <v>284</v>
      </c>
      <c r="B293" s="3" t="s">
        <v>1937</v>
      </c>
      <c r="C293" s="3" t="s">
        <v>1938</v>
      </c>
      <c r="D293" s="3" t="s">
        <v>91</v>
      </c>
      <c r="E293" s="3">
        <v>29</v>
      </c>
      <c r="F293" s="3" t="s">
        <v>23</v>
      </c>
      <c r="G293" s="3" t="s">
        <v>29</v>
      </c>
      <c r="H293" s="3"/>
      <c r="I293" s="3"/>
      <c r="J293" s="3" t="s">
        <v>1991</v>
      </c>
      <c r="K293" s="3"/>
      <c r="L293" s="3"/>
      <c r="M293" s="20"/>
      <c r="N293" s="34"/>
      <c r="O293" s="3">
        <v>1</v>
      </c>
      <c r="P293" s="3"/>
      <c r="Q293" s="3"/>
      <c r="R293" s="3"/>
      <c r="S293" s="3"/>
    </row>
    <row r="294" spans="1:19" ht="25" customHeight="1" x14ac:dyDescent="0.3">
      <c r="A294" s="3">
        <v>285</v>
      </c>
      <c r="B294" s="3" t="s">
        <v>1939</v>
      </c>
      <c r="C294" s="3" t="s">
        <v>1286</v>
      </c>
      <c r="D294" s="3" t="s">
        <v>589</v>
      </c>
      <c r="E294" s="3">
        <v>30</v>
      </c>
      <c r="F294" s="3" t="s">
        <v>23</v>
      </c>
      <c r="G294" s="3" t="s">
        <v>29</v>
      </c>
      <c r="H294" s="3"/>
      <c r="I294" s="3"/>
      <c r="J294" s="3" t="s">
        <v>1992</v>
      </c>
      <c r="K294" s="3"/>
      <c r="L294" s="3"/>
      <c r="M294" s="20"/>
      <c r="N294" s="34"/>
      <c r="O294" s="3">
        <v>1</v>
      </c>
      <c r="P294" s="3"/>
      <c r="Q294" s="3"/>
      <c r="R294" s="3"/>
      <c r="S294" s="3"/>
    </row>
    <row r="295" spans="1:19" ht="25" customHeight="1" x14ac:dyDescent="0.3">
      <c r="A295" s="3">
        <v>286</v>
      </c>
      <c r="B295" s="3" t="s">
        <v>1940</v>
      </c>
      <c r="C295" s="3" t="s">
        <v>122</v>
      </c>
      <c r="D295" s="3" t="s">
        <v>433</v>
      </c>
      <c r="E295" s="3">
        <v>30</v>
      </c>
      <c r="F295" s="3" t="s">
        <v>23</v>
      </c>
      <c r="G295" s="3" t="s">
        <v>24</v>
      </c>
      <c r="H295" s="3"/>
      <c r="I295" s="3"/>
      <c r="J295" s="3" t="s">
        <v>1993</v>
      </c>
      <c r="K295" s="3"/>
      <c r="L295" s="3"/>
      <c r="M295" s="20"/>
      <c r="N295" s="34"/>
      <c r="O295" s="3"/>
      <c r="P295" s="3">
        <v>1</v>
      </c>
      <c r="Q295" s="3"/>
      <c r="R295" s="3"/>
      <c r="S295" s="3"/>
    </row>
    <row r="296" spans="1:19" ht="25" customHeight="1" x14ac:dyDescent="0.3">
      <c r="A296" s="3">
        <v>287</v>
      </c>
      <c r="B296" s="3" t="s">
        <v>1941</v>
      </c>
      <c r="C296" s="3" t="s">
        <v>43</v>
      </c>
      <c r="D296" s="3" t="s">
        <v>166</v>
      </c>
      <c r="E296" s="3">
        <v>28</v>
      </c>
      <c r="F296" s="3" t="s">
        <v>23</v>
      </c>
      <c r="G296" s="3" t="s">
        <v>36</v>
      </c>
      <c r="H296" s="3"/>
      <c r="I296" s="3"/>
      <c r="J296" s="3" t="s">
        <v>1994</v>
      </c>
      <c r="K296" s="3"/>
      <c r="L296" s="3"/>
      <c r="M296" s="20"/>
      <c r="N296" s="34"/>
      <c r="O296" s="3"/>
      <c r="P296" s="3"/>
      <c r="Q296" s="3">
        <v>1</v>
      </c>
      <c r="R296" s="3"/>
      <c r="S296" s="3"/>
    </row>
    <row r="297" spans="1:19" ht="25" customHeight="1" x14ac:dyDescent="0.3">
      <c r="A297" s="3">
        <v>288</v>
      </c>
      <c r="B297" s="3" t="s">
        <v>1942</v>
      </c>
      <c r="C297" s="3" t="s">
        <v>558</v>
      </c>
      <c r="D297" s="3" t="s">
        <v>359</v>
      </c>
      <c r="E297" s="3">
        <v>24</v>
      </c>
      <c r="F297" s="3" t="s">
        <v>23</v>
      </c>
      <c r="G297" s="3" t="s">
        <v>36</v>
      </c>
      <c r="H297" s="3"/>
      <c r="I297" s="3"/>
      <c r="J297" s="3" t="s">
        <v>920</v>
      </c>
      <c r="K297" s="3"/>
      <c r="L297" s="3"/>
      <c r="M297" s="20"/>
      <c r="N297" s="34"/>
      <c r="O297" s="3"/>
      <c r="P297" s="3"/>
      <c r="Q297" s="3">
        <v>1</v>
      </c>
      <c r="R297" s="3"/>
      <c r="S297" s="3"/>
    </row>
    <row r="298" spans="1:19" ht="25" customHeight="1" x14ac:dyDescent="0.3">
      <c r="A298" s="3">
        <v>289</v>
      </c>
      <c r="B298" s="3" t="s">
        <v>1943</v>
      </c>
      <c r="C298" s="3" t="s">
        <v>1944</v>
      </c>
      <c r="D298" s="3" t="s">
        <v>177</v>
      </c>
      <c r="E298" s="3">
        <v>31</v>
      </c>
      <c r="F298" s="3" t="s">
        <v>23</v>
      </c>
      <c r="G298" s="3" t="s">
        <v>24</v>
      </c>
      <c r="H298" s="3"/>
      <c r="I298" s="3"/>
      <c r="J298" s="3" t="s">
        <v>1995</v>
      </c>
      <c r="K298" s="3"/>
      <c r="L298" s="3"/>
      <c r="M298" s="20"/>
      <c r="N298" s="34"/>
      <c r="O298" s="3"/>
      <c r="P298" s="3">
        <v>1</v>
      </c>
      <c r="Q298" s="3"/>
      <c r="R298" s="3"/>
      <c r="S298" s="3"/>
    </row>
    <row r="299" spans="1:19" ht="25" customHeight="1" x14ac:dyDescent="0.3">
      <c r="A299" s="3">
        <v>290</v>
      </c>
      <c r="B299" s="3" t="s">
        <v>1945</v>
      </c>
      <c r="C299" s="3" t="s">
        <v>910</v>
      </c>
      <c r="D299" s="3" t="s">
        <v>227</v>
      </c>
      <c r="E299" s="3">
        <v>34</v>
      </c>
      <c r="F299" s="3" t="s">
        <v>23</v>
      </c>
      <c r="G299" s="3" t="s">
        <v>64</v>
      </c>
      <c r="H299" s="3"/>
      <c r="I299" s="3"/>
      <c r="J299" s="3" t="s">
        <v>1990</v>
      </c>
      <c r="K299" s="3"/>
      <c r="L299" s="3"/>
      <c r="M299" s="20"/>
      <c r="N299" s="34"/>
      <c r="O299" s="3"/>
      <c r="P299" s="3"/>
      <c r="Q299" s="3"/>
      <c r="R299" s="3">
        <v>1</v>
      </c>
      <c r="S299" s="3"/>
    </row>
    <row r="300" spans="1:19" ht="25" customHeight="1" x14ac:dyDescent="0.3">
      <c r="A300" s="3">
        <v>291</v>
      </c>
      <c r="B300" s="3" t="s">
        <v>1946</v>
      </c>
      <c r="C300" s="3" t="s">
        <v>760</v>
      </c>
      <c r="D300" s="3" t="s">
        <v>1947</v>
      </c>
      <c r="E300" s="3">
        <v>24</v>
      </c>
      <c r="F300" s="3" t="s">
        <v>23</v>
      </c>
      <c r="G300" s="3" t="s">
        <v>36</v>
      </c>
      <c r="H300" s="3"/>
      <c r="I300" s="3"/>
      <c r="J300" s="3" t="s">
        <v>952</v>
      </c>
      <c r="K300" s="3"/>
      <c r="L300" s="3"/>
      <c r="M300" s="20"/>
      <c r="N300" s="34"/>
      <c r="O300" s="3"/>
      <c r="P300" s="3"/>
      <c r="Q300" s="3">
        <v>1</v>
      </c>
      <c r="R300" s="3"/>
      <c r="S300" s="3"/>
    </row>
    <row r="301" spans="1:19" ht="25" customHeight="1" x14ac:dyDescent="0.3">
      <c r="A301" s="3">
        <v>292</v>
      </c>
      <c r="B301" s="3" t="s">
        <v>1948</v>
      </c>
      <c r="C301" s="3" t="s">
        <v>1949</v>
      </c>
      <c r="D301" s="3" t="s">
        <v>1950</v>
      </c>
      <c r="E301" s="3">
        <v>24</v>
      </c>
      <c r="F301" s="3" t="s">
        <v>23</v>
      </c>
      <c r="G301" s="3" t="s">
        <v>36</v>
      </c>
      <c r="H301" s="3"/>
      <c r="I301" s="3"/>
      <c r="J301" s="3" t="s">
        <v>952</v>
      </c>
      <c r="K301" s="3"/>
      <c r="L301" s="3"/>
      <c r="M301" s="20"/>
      <c r="N301" s="34"/>
      <c r="O301" s="3"/>
      <c r="P301" s="3"/>
      <c r="Q301" s="3">
        <v>1</v>
      </c>
      <c r="R301" s="3"/>
      <c r="S301" s="3"/>
    </row>
    <row r="302" spans="1:19" ht="25" customHeight="1" x14ac:dyDescent="0.3">
      <c r="A302" s="3">
        <v>293</v>
      </c>
      <c r="B302" s="3" t="s">
        <v>1951</v>
      </c>
      <c r="C302" s="3" t="s">
        <v>28</v>
      </c>
      <c r="D302" s="3" t="s">
        <v>34</v>
      </c>
      <c r="E302" s="3">
        <v>25</v>
      </c>
      <c r="F302" s="3" t="s">
        <v>23</v>
      </c>
      <c r="G302" s="3" t="s">
        <v>36</v>
      </c>
      <c r="H302" s="3"/>
      <c r="I302" s="3"/>
      <c r="J302" s="3" t="s">
        <v>923</v>
      </c>
      <c r="K302" s="3"/>
      <c r="L302" s="3"/>
      <c r="M302" s="20"/>
      <c r="N302" s="34"/>
      <c r="O302" s="3"/>
      <c r="P302" s="3"/>
      <c r="Q302" s="3">
        <v>1</v>
      </c>
      <c r="R302" s="3"/>
      <c r="S302" s="3"/>
    </row>
    <row r="303" spans="1:19" ht="25" customHeight="1" x14ac:dyDescent="0.3">
      <c r="A303" s="3">
        <v>294</v>
      </c>
      <c r="B303" s="3" t="s">
        <v>1952</v>
      </c>
      <c r="C303" s="3" t="s">
        <v>1953</v>
      </c>
      <c r="D303" s="3" t="s">
        <v>88</v>
      </c>
      <c r="E303" s="3">
        <v>27</v>
      </c>
      <c r="F303" s="3" t="s">
        <v>23</v>
      </c>
      <c r="G303" s="3" t="s">
        <v>24</v>
      </c>
      <c r="H303" s="3"/>
      <c r="I303" s="3"/>
      <c r="J303" s="3" t="s">
        <v>923</v>
      </c>
      <c r="K303" s="3"/>
      <c r="L303" s="3"/>
      <c r="M303" s="20"/>
      <c r="N303" s="34"/>
      <c r="O303" s="3"/>
      <c r="P303" s="3">
        <v>1</v>
      </c>
      <c r="Q303" s="3"/>
      <c r="R303" s="3"/>
      <c r="S303" s="3"/>
    </row>
    <row r="304" spans="1:19" ht="25" customHeight="1" x14ac:dyDescent="0.3">
      <c r="A304" s="3">
        <v>295</v>
      </c>
      <c r="B304" s="3" t="s">
        <v>1287</v>
      </c>
      <c r="C304" s="3" t="s">
        <v>1858</v>
      </c>
      <c r="D304" s="3" t="s">
        <v>100</v>
      </c>
      <c r="E304" s="3">
        <v>20</v>
      </c>
      <c r="F304" s="3" t="s">
        <v>23</v>
      </c>
      <c r="G304" s="3" t="s">
        <v>24</v>
      </c>
      <c r="H304" s="3"/>
      <c r="I304" s="3"/>
      <c r="J304" s="3" t="s">
        <v>923</v>
      </c>
      <c r="K304" s="3"/>
      <c r="L304" s="3"/>
      <c r="M304" s="20"/>
      <c r="N304" s="34"/>
      <c r="O304" s="3"/>
      <c r="P304" s="3">
        <v>1</v>
      </c>
      <c r="Q304" s="3"/>
      <c r="R304" s="3"/>
      <c r="S304" s="3"/>
    </row>
    <row r="305" spans="1:19" ht="25" customHeight="1" x14ac:dyDescent="0.3">
      <c r="A305" s="3">
        <v>296</v>
      </c>
      <c r="B305" s="3" t="s">
        <v>1844</v>
      </c>
      <c r="C305" s="3" t="s">
        <v>433</v>
      </c>
      <c r="D305" s="3" t="s">
        <v>1954</v>
      </c>
      <c r="E305" s="3">
        <v>25</v>
      </c>
      <c r="F305" s="3" t="s">
        <v>23</v>
      </c>
      <c r="G305" s="3" t="s">
        <v>29</v>
      </c>
      <c r="H305" s="3"/>
      <c r="I305" s="3"/>
      <c r="J305" s="3" t="s">
        <v>923</v>
      </c>
      <c r="K305" s="3"/>
      <c r="L305" s="3"/>
      <c r="M305" s="20"/>
      <c r="N305" s="34"/>
      <c r="O305" s="3">
        <v>1</v>
      </c>
      <c r="P305" s="3"/>
      <c r="Q305" s="3"/>
      <c r="R305" s="3"/>
      <c r="S305" s="3"/>
    </row>
    <row r="306" spans="1:19" ht="25" customHeight="1" x14ac:dyDescent="0.3">
      <c r="A306" s="3">
        <v>297</v>
      </c>
      <c r="B306" s="3" t="s">
        <v>1955</v>
      </c>
      <c r="C306" s="3" t="s">
        <v>1956</v>
      </c>
      <c r="D306" s="3" t="s">
        <v>606</v>
      </c>
      <c r="E306" s="3">
        <v>27</v>
      </c>
      <c r="F306" s="3" t="s">
        <v>23</v>
      </c>
      <c r="G306" s="3" t="s">
        <v>29</v>
      </c>
      <c r="H306" s="3"/>
      <c r="I306" s="3"/>
      <c r="J306" s="3" t="s">
        <v>923</v>
      </c>
      <c r="K306" s="3"/>
      <c r="L306" s="3"/>
      <c r="M306" s="20"/>
      <c r="N306" s="34"/>
      <c r="O306" s="3">
        <v>1</v>
      </c>
      <c r="P306" s="3"/>
      <c r="Q306" s="3"/>
      <c r="R306" s="3"/>
      <c r="S306" s="3"/>
    </row>
    <row r="307" spans="1:19" ht="25" customHeight="1" x14ac:dyDescent="0.3">
      <c r="A307" s="3">
        <v>298</v>
      </c>
      <c r="B307" s="3" t="s">
        <v>1957</v>
      </c>
      <c r="C307" s="3" t="s">
        <v>308</v>
      </c>
      <c r="D307" s="3" t="s">
        <v>1958</v>
      </c>
      <c r="E307" s="3">
        <v>24</v>
      </c>
      <c r="F307" s="3" t="s">
        <v>23</v>
      </c>
      <c r="G307" s="3" t="s">
        <v>29</v>
      </c>
      <c r="H307" s="3"/>
      <c r="I307" s="3"/>
      <c r="J307" s="3" t="s">
        <v>923</v>
      </c>
      <c r="K307" s="3"/>
      <c r="L307" s="3"/>
      <c r="M307" s="20"/>
      <c r="N307" s="34"/>
      <c r="O307" s="3">
        <v>1</v>
      </c>
      <c r="P307" s="3"/>
      <c r="Q307" s="3"/>
      <c r="R307" s="3"/>
      <c r="S307" s="3"/>
    </row>
    <row r="308" spans="1:19" ht="25" customHeight="1" x14ac:dyDescent="0.3">
      <c r="A308" s="3">
        <v>299</v>
      </c>
      <c r="B308" s="3" t="s">
        <v>1959</v>
      </c>
      <c r="C308" s="3" t="s">
        <v>450</v>
      </c>
      <c r="D308" s="3" t="s">
        <v>418</v>
      </c>
      <c r="E308" s="3">
        <v>23</v>
      </c>
      <c r="F308" s="3" t="s">
        <v>23</v>
      </c>
      <c r="G308" s="3" t="s">
        <v>29</v>
      </c>
      <c r="H308" s="3"/>
      <c r="I308" s="3"/>
      <c r="J308" s="3" t="s">
        <v>923</v>
      </c>
      <c r="K308" s="3"/>
      <c r="L308" s="3"/>
      <c r="M308" s="20"/>
      <c r="N308" s="34"/>
      <c r="O308" s="3">
        <v>1</v>
      </c>
      <c r="P308" s="3"/>
      <c r="Q308" s="3"/>
      <c r="R308" s="3"/>
      <c r="S308" s="3"/>
    </row>
    <row r="309" spans="1:19" ht="25" customHeight="1" x14ac:dyDescent="0.3">
      <c r="A309" s="3">
        <v>300</v>
      </c>
      <c r="B309" s="3" t="s">
        <v>1960</v>
      </c>
      <c r="C309" s="3" t="s">
        <v>418</v>
      </c>
      <c r="D309" s="3" t="s">
        <v>339</v>
      </c>
      <c r="E309" s="3">
        <v>23</v>
      </c>
      <c r="F309" s="3" t="s">
        <v>23</v>
      </c>
      <c r="G309" s="3" t="s">
        <v>24</v>
      </c>
      <c r="H309" s="3"/>
      <c r="I309" s="3"/>
      <c r="J309" s="3" t="s">
        <v>923</v>
      </c>
      <c r="K309" s="3"/>
      <c r="L309" s="3"/>
      <c r="M309" s="20"/>
      <c r="N309" s="34"/>
      <c r="O309" s="3"/>
      <c r="P309" s="3">
        <v>1</v>
      </c>
      <c r="Q309" s="3"/>
      <c r="R309" s="3"/>
      <c r="S309" s="3"/>
    </row>
    <row r="310" spans="1:19" ht="25" customHeight="1" x14ac:dyDescent="0.3">
      <c r="A310" s="3">
        <v>301</v>
      </c>
      <c r="B310" s="3" t="s">
        <v>1961</v>
      </c>
      <c r="C310" s="3" t="s">
        <v>1962</v>
      </c>
      <c r="D310" s="3" t="s">
        <v>111</v>
      </c>
      <c r="E310" s="3">
        <v>28</v>
      </c>
      <c r="F310" s="3" t="s">
        <v>23</v>
      </c>
      <c r="G310" s="3" t="s">
        <v>24</v>
      </c>
      <c r="H310" s="3"/>
      <c r="I310" s="3"/>
      <c r="J310" s="3" t="s">
        <v>923</v>
      </c>
      <c r="K310" s="3"/>
      <c r="L310" s="3"/>
      <c r="M310" s="20"/>
      <c r="N310" s="34"/>
      <c r="O310" s="3"/>
      <c r="P310" s="3">
        <v>1</v>
      </c>
      <c r="Q310" s="3"/>
      <c r="R310" s="3"/>
      <c r="S310" s="3"/>
    </row>
    <row r="311" spans="1:19" ht="25" customHeight="1" x14ac:dyDescent="0.3">
      <c r="A311" s="3">
        <v>302</v>
      </c>
      <c r="B311" s="3" t="s">
        <v>1323</v>
      </c>
      <c r="C311" s="3" t="s">
        <v>28</v>
      </c>
      <c r="D311" s="3" t="s">
        <v>1963</v>
      </c>
      <c r="E311" s="3">
        <v>29</v>
      </c>
      <c r="F311" s="3" t="s">
        <v>23</v>
      </c>
      <c r="G311" s="3" t="s">
        <v>24</v>
      </c>
      <c r="H311" s="3"/>
      <c r="I311" s="3"/>
      <c r="J311" s="3" t="s">
        <v>923</v>
      </c>
      <c r="K311" s="3"/>
      <c r="L311" s="3"/>
      <c r="M311" s="20"/>
      <c r="N311" s="34"/>
      <c r="O311" s="3"/>
      <c r="P311" s="3">
        <v>1</v>
      </c>
      <c r="Q311" s="3"/>
      <c r="R311" s="3"/>
      <c r="S311" s="3"/>
    </row>
    <row r="312" spans="1:19" ht="25" customHeight="1" x14ac:dyDescent="0.3">
      <c r="A312" s="3">
        <v>303</v>
      </c>
      <c r="B312" s="3" t="s">
        <v>1964</v>
      </c>
      <c r="C312" s="3" t="s">
        <v>684</v>
      </c>
      <c r="D312" s="3" t="s">
        <v>599</v>
      </c>
      <c r="E312" s="3">
        <v>31</v>
      </c>
      <c r="F312" s="3" t="s">
        <v>23</v>
      </c>
      <c r="G312" s="3" t="s">
        <v>24</v>
      </c>
      <c r="H312" s="3"/>
      <c r="I312" s="3"/>
      <c r="J312" s="3" t="s">
        <v>923</v>
      </c>
      <c r="K312" s="3"/>
      <c r="L312" s="3"/>
      <c r="M312" s="20"/>
      <c r="N312" s="34"/>
      <c r="O312" s="3"/>
      <c r="P312" s="3">
        <v>1</v>
      </c>
      <c r="Q312" s="3"/>
      <c r="R312" s="3"/>
      <c r="S312" s="3"/>
    </row>
    <row r="313" spans="1:19" ht="25" customHeight="1" x14ac:dyDescent="0.3">
      <c r="A313" s="3">
        <v>304</v>
      </c>
      <c r="B313" s="3" t="s">
        <v>1965</v>
      </c>
      <c r="C313" s="3" t="s">
        <v>342</v>
      </c>
      <c r="D313" s="3" t="s">
        <v>145</v>
      </c>
      <c r="E313" s="3">
        <v>23</v>
      </c>
      <c r="F313" s="3" t="s">
        <v>23</v>
      </c>
      <c r="G313" s="3" t="s">
        <v>29</v>
      </c>
      <c r="H313" s="3"/>
      <c r="I313" s="3"/>
      <c r="J313" s="3" t="s">
        <v>923</v>
      </c>
      <c r="K313" s="3"/>
      <c r="L313" s="3"/>
      <c r="M313" s="20"/>
      <c r="N313" s="34"/>
      <c r="O313" s="3">
        <v>1</v>
      </c>
      <c r="P313" s="3"/>
      <c r="Q313" s="3"/>
      <c r="R313" s="3"/>
      <c r="S313" s="3"/>
    </row>
    <row r="314" spans="1:19" ht="25" customHeight="1" x14ac:dyDescent="0.3">
      <c r="A314" s="3">
        <v>305</v>
      </c>
      <c r="B314" s="3" t="s">
        <v>1966</v>
      </c>
      <c r="C314" s="3" t="s">
        <v>1967</v>
      </c>
      <c r="D314" s="3" t="s">
        <v>199</v>
      </c>
      <c r="E314" s="3">
        <v>26</v>
      </c>
      <c r="F314" s="3" t="s">
        <v>23</v>
      </c>
      <c r="G314" s="3" t="s">
        <v>29</v>
      </c>
      <c r="H314" s="3"/>
      <c r="I314" s="3"/>
      <c r="J314" s="3" t="s">
        <v>923</v>
      </c>
      <c r="K314" s="3"/>
      <c r="L314" s="3"/>
      <c r="M314" s="20"/>
      <c r="N314" s="34"/>
      <c r="O314" s="3">
        <v>1</v>
      </c>
      <c r="P314" s="3"/>
      <c r="Q314" s="3"/>
      <c r="R314" s="3"/>
      <c r="S314" s="3"/>
    </row>
    <row r="315" spans="1:19" ht="25" customHeight="1" x14ac:dyDescent="0.3">
      <c r="A315" s="3">
        <v>306</v>
      </c>
      <c r="B315" s="3" t="s">
        <v>1968</v>
      </c>
      <c r="C315" s="3" t="s">
        <v>106</v>
      </c>
      <c r="D315" s="3" t="s">
        <v>1122</v>
      </c>
      <c r="E315" s="3">
        <v>30</v>
      </c>
      <c r="F315" s="3" t="s">
        <v>23</v>
      </c>
      <c r="G315" s="3" t="s">
        <v>24</v>
      </c>
      <c r="H315" s="3"/>
      <c r="I315" s="3"/>
      <c r="J315" s="3" t="s">
        <v>923</v>
      </c>
      <c r="K315" s="3"/>
      <c r="L315" s="3"/>
      <c r="M315" s="20"/>
      <c r="N315" s="34"/>
      <c r="O315" s="3"/>
      <c r="P315" s="3">
        <v>1</v>
      </c>
      <c r="Q315" s="3"/>
      <c r="R315" s="3"/>
      <c r="S315" s="3"/>
    </row>
    <row r="316" spans="1:19" ht="25" customHeight="1" x14ac:dyDescent="0.3">
      <c r="A316" s="3">
        <v>307</v>
      </c>
      <c r="B316" s="3" t="s">
        <v>1120</v>
      </c>
      <c r="C316" s="3" t="s">
        <v>1121</v>
      </c>
      <c r="D316" s="3" t="s">
        <v>143</v>
      </c>
      <c r="E316" s="3">
        <v>27</v>
      </c>
      <c r="F316" s="3" t="s">
        <v>23</v>
      </c>
      <c r="G316" s="3" t="s">
        <v>29</v>
      </c>
      <c r="H316" s="3"/>
      <c r="I316" s="3"/>
      <c r="J316" s="3" t="s">
        <v>923</v>
      </c>
      <c r="K316" s="3"/>
      <c r="L316" s="3"/>
      <c r="M316" s="20"/>
      <c r="N316" s="34"/>
      <c r="O316" s="3">
        <v>1</v>
      </c>
      <c r="P316" s="3"/>
      <c r="Q316" s="3"/>
      <c r="R316" s="3"/>
      <c r="S316" s="3"/>
    </row>
    <row r="317" spans="1:19" ht="25" customHeight="1" x14ac:dyDescent="0.3">
      <c r="A317" s="3">
        <v>308</v>
      </c>
      <c r="B317" s="3" t="s">
        <v>1969</v>
      </c>
      <c r="C317" s="3" t="s">
        <v>734</v>
      </c>
      <c r="D317" s="3" t="s">
        <v>1970</v>
      </c>
      <c r="E317" s="3">
        <v>27</v>
      </c>
      <c r="F317" s="3" t="s">
        <v>23</v>
      </c>
      <c r="G317" s="3" t="s">
        <v>24</v>
      </c>
      <c r="H317" s="3"/>
      <c r="I317" s="3"/>
      <c r="J317" s="3" t="s">
        <v>923</v>
      </c>
      <c r="K317" s="3"/>
      <c r="L317" s="3"/>
      <c r="M317" s="20"/>
      <c r="N317" s="34"/>
      <c r="O317" s="3"/>
      <c r="P317" s="3">
        <v>1</v>
      </c>
      <c r="Q317" s="3"/>
      <c r="R317" s="3"/>
      <c r="S317" s="3"/>
    </row>
    <row r="318" spans="1:19" ht="25" customHeight="1" x14ac:dyDescent="0.3">
      <c r="A318" s="3">
        <v>309</v>
      </c>
      <c r="B318" s="3" t="s">
        <v>921</v>
      </c>
      <c r="C318" s="3" t="s">
        <v>199</v>
      </c>
      <c r="D318" s="3" t="s">
        <v>27</v>
      </c>
      <c r="E318" s="3">
        <v>25</v>
      </c>
      <c r="F318" s="3" t="s">
        <v>23</v>
      </c>
      <c r="G318" s="3" t="s">
        <v>29</v>
      </c>
      <c r="H318" s="3"/>
      <c r="I318" s="3"/>
      <c r="J318" s="3" t="s">
        <v>923</v>
      </c>
      <c r="K318" s="3"/>
      <c r="L318" s="3"/>
      <c r="M318" s="20"/>
      <c r="N318" s="34"/>
      <c r="O318" s="3">
        <v>1</v>
      </c>
      <c r="P318" s="3"/>
      <c r="Q318" s="3"/>
      <c r="R318" s="3"/>
      <c r="S318" s="3"/>
    </row>
    <row r="319" spans="1:19" ht="25" customHeight="1" x14ac:dyDescent="0.3">
      <c r="A319" s="3">
        <v>310</v>
      </c>
      <c r="B319" s="3" t="s">
        <v>926</v>
      </c>
      <c r="C319" s="3" t="s">
        <v>927</v>
      </c>
      <c r="D319" s="3" t="s">
        <v>928</v>
      </c>
      <c r="E319" s="3">
        <v>29</v>
      </c>
      <c r="F319" s="3" t="s">
        <v>23</v>
      </c>
      <c r="G319" s="3" t="s">
        <v>29</v>
      </c>
      <c r="H319" s="3"/>
      <c r="I319" s="3"/>
      <c r="J319" s="3" t="s">
        <v>923</v>
      </c>
      <c r="K319" s="3"/>
      <c r="L319" s="3"/>
      <c r="M319" s="20"/>
      <c r="N319" s="34"/>
      <c r="O319" s="3">
        <v>1</v>
      </c>
      <c r="P319" s="3"/>
      <c r="Q319" s="3"/>
      <c r="R319" s="3"/>
      <c r="S319" s="3"/>
    </row>
    <row r="320" spans="1:19" ht="25" customHeight="1" x14ac:dyDescent="0.3">
      <c r="A320" s="3">
        <v>311</v>
      </c>
      <c r="B320" s="3" t="s">
        <v>881</v>
      </c>
      <c r="C320" s="3" t="s">
        <v>359</v>
      </c>
      <c r="D320" s="3" t="s">
        <v>1534</v>
      </c>
      <c r="E320" s="3">
        <v>26</v>
      </c>
      <c r="F320" s="3" t="s">
        <v>23</v>
      </c>
      <c r="G320" s="3" t="s">
        <v>36</v>
      </c>
      <c r="H320" s="3"/>
      <c r="I320" s="3"/>
      <c r="J320" s="3" t="s">
        <v>923</v>
      </c>
      <c r="K320" s="3"/>
      <c r="L320" s="3"/>
      <c r="M320" s="20"/>
      <c r="N320" s="34"/>
      <c r="O320" s="3"/>
      <c r="P320" s="3"/>
      <c r="Q320" s="3">
        <v>1</v>
      </c>
      <c r="R320" s="3"/>
      <c r="S320" s="3"/>
    </row>
    <row r="321" spans="1:19" ht="25" customHeight="1" x14ac:dyDescent="0.3">
      <c r="A321" s="3">
        <v>312</v>
      </c>
      <c r="B321" s="3" t="s">
        <v>1971</v>
      </c>
      <c r="C321" s="3" t="s">
        <v>339</v>
      </c>
      <c r="D321" s="3" t="s">
        <v>1972</v>
      </c>
      <c r="E321" s="3">
        <v>28</v>
      </c>
      <c r="F321" s="3" t="s">
        <v>23</v>
      </c>
      <c r="G321" s="3" t="s">
        <v>24</v>
      </c>
      <c r="H321" s="3"/>
      <c r="I321" s="3"/>
      <c r="J321" s="3" t="s">
        <v>923</v>
      </c>
      <c r="K321" s="3"/>
      <c r="L321" s="3"/>
      <c r="M321" s="20"/>
      <c r="N321" s="34"/>
      <c r="O321" s="3"/>
      <c r="P321" s="3">
        <v>1</v>
      </c>
      <c r="Q321" s="3"/>
      <c r="R321" s="3"/>
      <c r="S321" s="3"/>
    </row>
    <row r="322" spans="1:19" ht="25" customHeight="1" x14ac:dyDescent="0.3">
      <c r="A322" s="3">
        <v>313</v>
      </c>
      <c r="B322" s="3" t="s">
        <v>1973</v>
      </c>
      <c r="C322" s="3" t="s">
        <v>558</v>
      </c>
      <c r="D322" s="3" t="s">
        <v>227</v>
      </c>
      <c r="E322" s="3">
        <v>27</v>
      </c>
      <c r="F322" s="3" t="s">
        <v>23</v>
      </c>
      <c r="G322" s="3" t="s">
        <v>36</v>
      </c>
      <c r="H322" s="3"/>
      <c r="I322" s="3"/>
      <c r="J322" s="3" t="s">
        <v>923</v>
      </c>
      <c r="K322" s="3"/>
      <c r="L322" s="3"/>
      <c r="M322" s="20"/>
      <c r="N322" s="34"/>
      <c r="O322" s="3"/>
      <c r="P322" s="3"/>
      <c r="Q322" s="3">
        <v>1</v>
      </c>
      <c r="R322" s="3"/>
      <c r="S322" s="3"/>
    </row>
    <row r="323" spans="1:19" ht="25" customHeight="1" x14ac:dyDescent="0.3">
      <c r="A323" s="3">
        <v>314</v>
      </c>
      <c r="B323" s="3" t="s">
        <v>1974</v>
      </c>
      <c r="C323" s="3" t="s">
        <v>1975</v>
      </c>
      <c r="D323" s="3" t="s">
        <v>327</v>
      </c>
      <c r="E323" s="3">
        <v>26</v>
      </c>
      <c r="F323" s="3" t="s">
        <v>23</v>
      </c>
      <c r="G323" s="3" t="s">
        <v>24</v>
      </c>
      <c r="H323" s="3"/>
      <c r="I323" s="3"/>
      <c r="J323" s="3" t="s">
        <v>923</v>
      </c>
      <c r="K323" s="3"/>
      <c r="L323" s="3"/>
      <c r="M323" s="20"/>
      <c r="N323" s="34"/>
      <c r="O323" s="3"/>
      <c r="P323" s="3">
        <v>1</v>
      </c>
      <c r="Q323" s="3"/>
      <c r="R323" s="3"/>
      <c r="S323" s="3"/>
    </row>
    <row r="324" spans="1:19" ht="25" customHeight="1" x14ac:dyDescent="0.3">
      <c r="A324" s="3">
        <v>315</v>
      </c>
      <c r="B324" s="3" t="s">
        <v>1976</v>
      </c>
      <c r="C324" s="3" t="s">
        <v>137</v>
      </c>
      <c r="D324" s="3" t="s">
        <v>201</v>
      </c>
      <c r="E324" s="3">
        <v>25</v>
      </c>
      <c r="F324" s="3" t="s">
        <v>23</v>
      </c>
      <c r="G324" s="3" t="s">
        <v>29</v>
      </c>
      <c r="H324" s="3"/>
      <c r="I324" s="3"/>
      <c r="J324" s="3" t="s">
        <v>923</v>
      </c>
      <c r="K324" s="3"/>
      <c r="L324" s="3"/>
      <c r="M324" s="20"/>
      <c r="N324" s="34"/>
      <c r="O324" s="3">
        <v>1</v>
      </c>
      <c r="P324" s="3"/>
      <c r="Q324" s="3"/>
      <c r="R324" s="3"/>
      <c r="S324" s="3"/>
    </row>
    <row r="325" spans="1:19" ht="25" customHeight="1" x14ac:dyDescent="0.3">
      <c r="A325" s="3">
        <v>316</v>
      </c>
      <c r="B325" s="3" t="s">
        <v>1977</v>
      </c>
      <c r="C325" s="3" t="s">
        <v>634</v>
      </c>
      <c r="D325" s="3" t="s">
        <v>86</v>
      </c>
      <c r="E325" s="3">
        <v>27</v>
      </c>
      <c r="F325" s="3" t="s">
        <v>23</v>
      </c>
      <c r="G325" s="3" t="s">
        <v>36</v>
      </c>
      <c r="H325" s="3"/>
      <c r="I325" s="3"/>
      <c r="J325" s="3" t="s">
        <v>923</v>
      </c>
      <c r="K325" s="3"/>
      <c r="L325" s="3"/>
      <c r="M325" s="20"/>
      <c r="N325" s="34"/>
      <c r="O325" s="3"/>
      <c r="P325" s="3"/>
      <c r="Q325" s="3">
        <v>1</v>
      </c>
      <c r="R325" s="3"/>
      <c r="S325" s="3"/>
    </row>
    <row r="326" spans="1:19" ht="25" customHeight="1" x14ac:dyDescent="0.3">
      <c r="A326" s="3">
        <v>317</v>
      </c>
      <c r="B326" s="3" t="s">
        <v>1978</v>
      </c>
      <c r="C326" s="3" t="s">
        <v>1811</v>
      </c>
      <c r="D326" s="3" t="s">
        <v>1979</v>
      </c>
      <c r="E326" s="3">
        <v>26</v>
      </c>
      <c r="F326" s="3" t="s">
        <v>23</v>
      </c>
      <c r="G326" s="3" t="s">
        <v>29</v>
      </c>
      <c r="H326" s="3"/>
      <c r="I326" s="3"/>
      <c r="J326" s="3" t="s">
        <v>923</v>
      </c>
      <c r="K326" s="3"/>
      <c r="L326" s="3"/>
      <c r="M326" s="20"/>
      <c r="N326" s="34"/>
      <c r="O326" s="3">
        <v>1</v>
      </c>
      <c r="P326" s="3"/>
      <c r="Q326" s="3"/>
      <c r="R326" s="3"/>
      <c r="S326" s="3"/>
    </row>
    <row r="327" spans="1:19" ht="25" customHeight="1" x14ac:dyDescent="0.3">
      <c r="A327" s="3">
        <v>318</v>
      </c>
      <c r="B327" s="3" t="s">
        <v>118</v>
      </c>
      <c r="C327" s="3" t="s">
        <v>1398</v>
      </c>
      <c r="D327" s="3" t="s">
        <v>1042</v>
      </c>
      <c r="E327" s="3">
        <v>34</v>
      </c>
      <c r="F327" s="3" t="s">
        <v>23</v>
      </c>
      <c r="G327" s="3" t="s">
        <v>24</v>
      </c>
      <c r="H327" s="3"/>
      <c r="I327" s="3"/>
      <c r="J327" s="3" t="s">
        <v>1990</v>
      </c>
      <c r="K327" s="3"/>
      <c r="L327" s="3"/>
      <c r="M327" s="20"/>
      <c r="N327" s="34"/>
      <c r="O327" s="3"/>
      <c r="P327" s="3">
        <v>1</v>
      </c>
      <c r="Q327" s="3"/>
      <c r="R327" s="3"/>
      <c r="S327" s="3"/>
    </row>
    <row r="328" spans="1:19" ht="25" customHeight="1" x14ac:dyDescent="0.3">
      <c r="A328" s="3">
        <v>319</v>
      </c>
      <c r="B328" s="3" t="s">
        <v>2222</v>
      </c>
      <c r="C328" s="3" t="s">
        <v>111</v>
      </c>
      <c r="D328" s="3" t="s">
        <v>940</v>
      </c>
      <c r="E328" s="3">
        <v>29</v>
      </c>
      <c r="F328" s="3" t="s">
        <v>23</v>
      </c>
      <c r="G328" s="3" t="s">
        <v>36</v>
      </c>
      <c r="H328" s="3"/>
      <c r="I328" s="3"/>
      <c r="J328" s="3" t="s">
        <v>2223</v>
      </c>
      <c r="K328" s="3"/>
      <c r="L328" s="3"/>
      <c r="M328" s="20"/>
      <c r="N328" s="34"/>
      <c r="O328" s="3"/>
      <c r="P328" s="3"/>
      <c r="Q328" s="3">
        <v>1</v>
      </c>
      <c r="R328" s="3"/>
      <c r="S328" s="3"/>
    </row>
    <row r="329" spans="1:19" ht="25" customHeight="1" x14ac:dyDescent="0.3">
      <c r="A329" s="3">
        <v>320</v>
      </c>
      <c r="B329" s="36" t="s">
        <v>2216</v>
      </c>
      <c r="C329" s="36" t="s">
        <v>199</v>
      </c>
      <c r="D329" s="36" t="s">
        <v>1288</v>
      </c>
      <c r="E329" s="36">
        <v>24</v>
      </c>
      <c r="F329" s="36" t="s">
        <v>23</v>
      </c>
      <c r="G329" s="36" t="s">
        <v>2218</v>
      </c>
      <c r="H329" s="36"/>
      <c r="I329" s="36"/>
      <c r="J329" s="36"/>
      <c r="K329" s="3"/>
      <c r="L329" s="3"/>
      <c r="M329" s="20"/>
      <c r="N329" s="34"/>
      <c r="O329" s="3">
        <v>1</v>
      </c>
      <c r="P329" s="3"/>
      <c r="Q329" s="3"/>
      <c r="R329" s="3"/>
      <c r="S329" s="3"/>
    </row>
    <row r="330" spans="1:19" ht="25" customHeight="1" x14ac:dyDescent="0.3">
      <c r="A330" s="3">
        <v>321</v>
      </c>
      <c r="B330" s="36" t="s">
        <v>2214</v>
      </c>
      <c r="C330" s="36" t="s">
        <v>1184</v>
      </c>
      <c r="D330" s="36" t="s">
        <v>238</v>
      </c>
      <c r="E330" s="36">
        <v>30</v>
      </c>
      <c r="F330" s="36" t="s">
        <v>23</v>
      </c>
      <c r="G330" s="36" t="s">
        <v>36</v>
      </c>
      <c r="H330" s="3"/>
      <c r="I330" s="3"/>
      <c r="J330" s="36" t="s">
        <v>2215</v>
      </c>
      <c r="K330" s="3"/>
      <c r="L330" s="3"/>
      <c r="M330" s="20"/>
      <c r="N330" s="34"/>
      <c r="O330" s="3"/>
      <c r="P330" s="3"/>
      <c r="Q330" s="3">
        <v>1</v>
      </c>
      <c r="R330" s="3"/>
      <c r="S330" s="3"/>
    </row>
    <row r="331" spans="1:19" ht="25" customHeight="1" x14ac:dyDescent="0.3">
      <c r="A331" s="3">
        <v>322</v>
      </c>
      <c r="B331" s="36" t="s">
        <v>2167</v>
      </c>
      <c r="C331" s="36" t="s">
        <v>839</v>
      </c>
      <c r="D331" s="36" t="s">
        <v>840</v>
      </c>
      <c r="E331" s="36">
        <v>25</v>
      </c>
      <c r="F331" s="36" t="s">
        <v>23</v>
      </c>
      <c r="G331" s="36" t="s">
        <v>2168</v>
      </c>
      <c r="H331" s="3"/>
      <c r="I331" s="3"/>
      <c r="J331" s="36" t="s">
        <v>2185</v>
      </c>
      <c r="K331" s="3"/>
      <c r="L331" s="3"/>
      <c r="M331" s="20"/>
      <c r="N331" s="34"/>
      <c r="O331" s="3"/>
      <c r="P331" s="3"/>
      <c r="Q331" s="3"/>
      <c r="R331" s="3">
        <v>1</v>
      </c>
      <c r="S331" s="3"/>
    </row>
    <row r="332" spans="1:19" ht="25" customHeight="1" x14ac:dyDescent="0.3">
      <c r="A332" s="3">
        <v>323</v>
      </c>
      <c r="B332" s="36" t="s">
        <v>2169</v>
      </c>
      <c r="C332" s="36" t="s">
        <v>163</v>
      </c>
      <c r="D332" s="36" t="s">
        <v>734</v>
      </c>
      <c r="E332" s="36">
        <v>23</v>
      </c>
      <c r="F332" s="36" t="s">
        <v>23</v>
      </c>
      <c r="G332" s="36" t="s">
        <v>29</v>
      </c>
      <c r="H332" s="3"/>
      <c r="I332" s="3"/>
      <c r="J332" s="36" t="s">
        <v>2185</v>
      </c>
      <c r="K332" s="3"/>
      <c r="L332" s="3"/>
      <c r="M332" s="20"/>
      <c r="N332" s="34"/>
      <c r="O332" s="3">
        <v>1</v>
      </c>
      <c r="P332" s="3"/>
      <c r="Q332" s="3"/>
      <c r="R332" s="3"/>
      <c r="S332" s="3"/>
    </row>
    <row r="333" spans="1:19" ht="25" customHeight="1" x14ac:dyDescent="0.3">
      <c r="A333" s="3">
        <v>324</v>
      </c>
      <c r="B333" s="36" t="s">
        <v>2170</v>
      </c>
      <c r="C333" s="36" t="s">
        <v>2171</v>
      </c>
      <c r="D333" s="36" t="s">
        <v>558</v>
      </c>
      <c r="E333" s="36">
        <v>26</v>
      </c>
      <c r="F333" s="36" t="s">
        <v>23</v>
      </c>
      <c r="G333" s="36" t="s">
        <v>29</v>
      </c>
      <c r="H333" s="3"/>
      <c r="I333" s="3"/>
      <c r="J333" s="36" t="s">
        <v>2185</v>
      </c>
      <c r="K333" s="3"/>
      <c r="L333" s="3"/>
      <c r="M333" s="20"/>
      <c r="N333" s="34"/>
      <c r="O333" s="3">
        <v>1</v>
      </c>
      <c r="P333" s="3"/>
      <c r="Q333" s="3"/>
      <c r="R333" s="3"/>
      <c r="S333" s="3"/>
    </row>
    <row r="334" spans="1:19" ht="25" customHeight="1" x14ac:dyDescent="0.3">
      <c r="A334" s="3">
        <v>325</v>
      </c>
      <c r="B334" s="36" t="s">
        <v>2172</v>
      </c>
      <c r="C334" s="36" t="s">
        <v>199</v>
      </c>
      <c r="D334" s="36" t="s">
        <v>1288</v>
      </c>
      <c r="E334" s="36">
        <v>31</v>
      </c>
      <c r="F334" s="36" t="s">
        <v>23</v>
      </c>
      <c r="G334" s="36" t="s">
        <v>24</v>
      </c>
      <c r="H334" s="3"/>
      <c r="I334" s="3"/>
      <c r="J334" s="36" t="s">
        <v>2185</v>
      </c>
      <c r="K334" s="3"/>
      <c r="L334" s="3"/>
      <c r="M334" s="20"/>
      <c r="N334" s="34"/>
      <c r="O334" s="3"/>
      <c r="P334" s="3">
        <v>1</v>
      </c>
      <c r="Q334" s="3"/>
      <c r="R334" s="3"/>
      <c r="S334" s="3"/>
    </row>
    <row r="335" spans="1:19" ht="25" customHeight="1" x14ac:dyDescent="0.3">
      <c r="A335" s="3">
        <v>326</v>
      </c>
      <c r="B335" s="36" t="s">
        <v>2173</v>
      </c>
      <c r="C335" s="36" t="s">
        <v>775</v>
      </c>
      <c r="D335" s="36" t="s">
        <v>203</v>
      </c>
      <c r="E335" s="36">
        <v>30</v>
      </c>
      <c r="F335" s="36" t="s">
        <v>23</v>
      </c>
      <c r="G335" s="36" t="s">
        <v>24</v>
      </c>
      <c r="H335" s="3"/>
      <c r="I335" s="3"/>
      <c r="J335" s="36" t="s">
        <v>2185</v>
      </c>
      <c r="K335" s="3"/>
      <c r="L335" s="3"/>
      <c r="M335" s="20"/>
      <c r="N335" s="34"/>
      <c r="O335" s="3"/>
      <c r="P335" s="3">
        <v>1</v>
      </c>
      <c r="Q335" s="3"/>
      <c r="R335" s="3"/>
      <c r="S335" s="3"/>
    </row>
    <row r="336" spans="1:19" ht="25" customHeight="1" x14ac:dyDescent="0.3">
      <c r="A336" s="3">
        <v>327</v>
      </c>
      <c r="B336" s="36" t="s">
        <v>2174</v>
      </c>
      <c r="C336" s="36" t="s">
        <v>2175</v>
      </c>
      <c r="D336" s="36" t="s">
        <v>2176</v>
      </c>
      <c r="E336" s="36">
        <v>26</v>
      </c>
      <c r="F336" s="36" t="s">
        <v>23</v>
      </c>
      <c r="G336" s="36" t="s">
        <v>29</v>
      </c>
      <c r="H336" s="3"/>
      <c r="I336" s="3"/>
      <c r="J336" s="36" t="s">
        <v>2185</v>
      </c>
      <c r="K336" s="3"/>
      <c r="L336" s="3"/>
      <c r="M336" s="20"/>
      <c r="N336" s="34"/>
      <c r="O336" s="3">
        <v>1</v>
      </c>
      <c r="P336" s="3"/>
      <c r="Q336" s="3"/>
      <c r="R336" s="3"/>
      <c r="S336" s="3"/>
    </row>
    <row r="337" spans="1:19" ht="25" customHeight="1" x14ac:dyDescent="0.3">
      <c r="A337" s="3">
        <v>328</v>
      </c>
      <c r="B337" s="36" t="s">
        <v>2177</v>
      </c>
      <c r="C337" s="36" t="s">
        <v>775</v>
      </c>
      <c r="D337" s="36" t="s">
        <v>1928</v>
      </c>
      <c r="E337" s="36">
        <v>27</v>
      </c>
      <c r="F337" s="36" t="s">
        <v>23</v>
      </c>
      <c r="G337" s="36" t="s">
        <v>24</v>
      </c>
      <c r="H337" s="3"/>
      <c r="I337" s="3"/>
      <c r="J337" s="36" t="s">
        <v>2185</v>
      </c>
      <c r="K337" s="3"/>
      <c r="L337" s="3"/>
      <c r="M337" s="20"/>
      <c r="N337" s="34"/>
      <c r="O337" s="3"/>
      <c r="P337" s="3">
        <v>1</v>
      </c>
      <c r="Q337" s="3"/>
      <c r="R337" s="3"/>
      <c r="S337" s="3"/>
    </row>
    <row r="338" spans="1:19" ht="25" customHeight="1" x14ac:dyDescent="0.3">
      <c r="A338" s="3">
        <v>329</v>
      </c>
      <c r="B338" s="36" t="s">
        <v>2178</v>
      </c>
      <c r="C338" s="36" t="s">
        <v>1367</v>
      </c>
      <c r="D338" s="36" t="s">
        <v>59</v>
      </c>
      <c r="E338" s="36">
        <v>28</v>
      </c>
      <c r="F338" s="36" t="s">
        <v>23</v>
      </c>
      <c r="G338" s="36" t="s">
        <v>29</v>
      </c>
      <c r="H338" s="3"/>
      <c r="I338" s="3"/>
      <c r="J338" s="36" t="s">
        <v>2185</v>
      </c>
      <c r="K338" s="3"/>
      <c r="L338" s="3"/>
      <c r="M338" s="20"/>
      <c r="N338" s="34"/>
      <c r="O338" s="3">
        <v>1</v>
      </c>
      <c r="P338" s="3"/>
      <c r="Q338" s="3"/>
      <c r="R338" s="3"/>
      <c r="S338" s="3"/>
    </row>
    <row r="339" spans="1:19" ht="25" customHeight="1" x14ac:dyDescent="0.3">
      <c r="A339" s="3">
        <v>330</v>
      </c>
      <c r="B339" s="36" t="s">
        <v>2179</v>
      </c>
      <c r="C339" s="36" t="s">
        <v>2180</v>
      </c>
      <c r="D339" s="36" t="s">
        <v>2181</v>
      </c>
      <c r="E339" s="36">
        <v>21</v>
      </c>
      <c r="F339" s="36" t="s">
        <v>23</v>
      </c>
      <c r="G339" s="36" t="s">
        <v>24</v>
      </c>
      <c r="H339" s="3"/>
      <c r="I339" s="3"/>
      <c r="J339" s="36" t="s">
        <v>2185</v>
      </c>
      <c r="K339" s="3"/>
      <c r="L339" s="3"/>
      <c r="M339" s="20"/>
      <c r="N339" s="34"/>
      <c r="O339" s="3"/>
      <c r="P339" s="3">
        <v>1</v>
      </c>
      <c r="Q339" s="3"/>
      <c r="R339" s="3"/>
      <c r="S339" s="3"/>
    </row>
    <row r="340" spans="1:19" ht="25" customHeight="1" x14ac:dyDescent="0.3">
      <c r="A340" s="3">
        <v>331</v>
      </c>
      <c r="B340" s="36" t="s">
        <v>2182</v>
      </c>
      <c r="C340" s="36" t="s">
        <v>775</v>
      </c>
      <c r="D340" s="36" t="s">
        <v>558</v>
      </c>
      <c r="E340" s="36">
        <v>21</v>
      </c>
      <c r="F340" s="36" t="s">
        <v>23</v>
      </c>
      <c r="G340" s="36" t="s">
        <v>24</v>
      </c>
      <c r="H340" s="3"/>
      <c r="I340" s="3"/>
      <c r="J340" s="36" t="s">
        <v>2185</v>
      </c>
      <c r="K340" s="3"/>
      <c r="L340" s="3"/>
      <c r="M340" s="20"/>
      <c r="N340" s="34"/>
      <c r="O340" s="3"/>
      <c r="P340" s="3">
        <v>1</v>
      </c>
      <c r="Q340" s="3"/>
      <c r="R340" s="3"/>
      <c r="S340" s="3"/>
    </row>
    <row r="341" spans="1:19" ht="25" customHeight="1" x14ac:dyDescent="0.3">
      <c r="A341" s="3">
        <v>332</v>
      </c>
      <c r="B341" s="36" t="s">
        <v>2183</v>
      </c>
      <c r="C341" s="36" t="s">
        <v>203</v>
      </c>
      <c r="D341" s="36" t="s">
        <v>2184</v>
      </c>
      <c r="E341" s="36">
        <v>31</v>
      </c>
      <c r="F341" s="36" t="s">
        <v>23</v>
      </c>
      <c r="G341" s="36" t="s">
        <v>29</v>
      </c>
      <c r="H341" s="3"/>
      <c r="I341" s="3"/>
      <c r="J341" s="36" t="s">
        <v>2185</v>
      </c>
      <c r="K341" s="3"/>
      <c r="L341" s="3"/>
      <c r="M341" s="20"/>
      <c r="N341" s="34"/>
      <c r="O341" s="3">
        <v>1</v>
      </c>
      <c r="P341" s="3"/>
      <c r="Q341" s="3"/>
      <c r="R341" s="3"/>
      <c r="S341" s="3"/>
    </row>
    <row r="342" spans="1:19" ht="25" customHeight="1" x14ac:dyDescent="0.3">
      <c r="A342" s="3">
        <v>333</v>
      </c>
      <c r="B342" s="3" t="s">
        <v>575</v>
      </c>
      <c r="C342" s="3" t="s">
        <v>1367</v>
      </c>
      <c r="D342" s="3" t="s">
        <v>1368</v>
      </c>
      <c r="E342" s="3">
        <v>32</v>
      </c>
      <c r="F342" s="3" t="s">
        <v>23</v>
      </c>
      <c r="G342" s="3" t="s">
        <v>461</v>
      </c>
      <c r="H342" s="3"/>
      <c r="I342" s="3"/>
      <c r="J342" s="3" t="s">
        <v>567</v>
      </c>
      <c r="K342" s="3"/>
      <c r="L342" s="3"/>
      <c r="M342" s="20"/>
      <c r="N342" s="20"/>
      <c r="O342" s="3">
        <v>1</v>
      </c>
      <c r="P342" s="3"/>
      <c r="Q342" s="3"/>
      <c r="R342" s="3"/>
      <c r="S342" s="3"/>
    </row>
    <row r="344" spans="1:19" ht="15.5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25"/>
      <c r="K344" s="3"/>
      <c r="L344" s="6"/>
      <c r="M344" s="20"/>
      <c r="N344" s="34"/>
      <c r="O344" s="3"/>
      <c r="P344" s="3"/>
      <c r="Q344" s="3"/>
      <c r="R344" s="3"/>
      <c r="S344" s="3"/>
    </row>
    <row r="345" spans="1:19" ht="25" customHeight="1" x14ac:dyDescent="0.3">
      <c r="A345" s="7"/>
      <c r="B345" s="7"/>
      <c r="C345" s="7"/>
      <c r="D345" s="7"/>
      <c r="E345" s="48" t="s">
        <v>55</v>
      </c>
      <c r="F345" s="48"/>
      <c r="G345" s="10">
        <f>O345+P345+Q345+R345+S345</f>
        <v>333</v>
      </c>
      <c r="J345" s="19"/>
      <c r="K345" s="7"/>
      <c r="L345" s="9"/>
      <c r="M345" s="8"/>
      <c r="N345" s="8"/>
      <c r="O345" s="7">
        <f>SUM(O10:O344)</f>
        <v>130</v>
      </c>
      <c r="P345" s="7">
        <f>SUM(P10:P344)</f>
        <v>145</v>
      </c>
      <c r="Q345" s="7">
        <f>SUM(Q10:Q344)</f>
        <v>47</v>
      </c>
      <c r="R345" s="7">
        <f>SUM(R10:R344)</f>
        <v>10</v>
      </c>
      <c r="S345" s="7">
        <f>SUM(S10:S344)</f>
        <v>1</v>
      </c>
    </row>
  </sheetData>
  <mergeCells count="7">
    <mergeCell ref="E345:F345"/>
    <mergeCell ref="A2:I2"/>
    <mergeCell ref="A6:I6"/>
    <mergeCell ref="A7:I7"/>
    <mergeCell ref="A8:I8"/>
    <mergeCell ref="A3:I3"/>
    <mergeCell ref="A4:I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1329-E916-4037-B42C-FAE388981B7C}">
  <dimension ref="A2:S70"/>
  <sheetViews>
    <sheetView zoomScale="90" zoomScaleNormal="90" workbookViewId="0">
      <pane xSplit="7" ySplit="11" topLeftCell="N68" activePane="bottomRight" state="frozenSplit"/>
      <selection pane="topRight" activeCell="G1" sqref="G1"/>
      <selection pane="bottomLeft" activeCell="A10" sqref="A10"/>
      <selection pane="bottomRight" activeCell="H70" sqref="H70"/>
    </sheetView>
  </sheetViews>
  <sheetFormatPr baseColWidth="10" defaultColWidth="11.453125" defaultRowHeight="14" x14ac:dyDescent="0.3"/>
  <cols>
    <col min="1" max="1" width="11.453125" style="18"/>
    <col min="2" max="2" width="22.54296875" style="18" customWidth="1"/>
    <col min="3" max="4" width="20.7265625" style="18" customWidth="1"/>
    <col min="5" max="5" width="11.453125" style="18"/>
    <col min="6" max="6" width="12.26953125" style="18" customWidth="1"/>
    <col min="7" max="7" width="18.81640625" style="18" bestFit="1" customWidth="1"/>
    <col min="8" max="8" width="20.453125" style="18" bestFit="1" customWidth="1"/>
    <col min="9" max="9" width="18.1796875" style="18" bestFit="1" customWidth="1"/>
    <col min="10" max="10" width="18" style="18" customWidth="1"/>
    <col min="11" max="11" width="18.1796875" style="18" hidden="1" customWidth="1"/>
    <col min="12" max="12" width="26.1796875" style="18" hidden="1" customWidth="1"/>
    <col min="13" max="13" width="18.1796875" style="18" hidden="1" customWidth="1"/>
    <col min="14" max="14" width="18.1796875" style="18" customWidth="1"/>
    <col min="15" max="16384" width="11.453125" style="18"/>
  </cols>
  <sheetData>
    <row r="2" spans="1:19" ht="20.5" x14ac:dyDescent="0.45">
      <c r="A2" s="49" t="s">
        <v>9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10</v>
      </c>
      <c r="B3" s="49"/>
      <c r="C3" s="49"/>
      <c r="D3" s="49"/>
      <c r="E3" s="49"/>
      <c r="F3" s="49"/>
      <c r="G3" s="49"/>
      <c r="H3" s="49"/>
      <c r="I3" s="49"/>
    </row>
    <row r="4" spans="1:19" ht="20.5" x14ac:dyDescent="0.45">
      <c r="A4" s="49" t="s">
        <v>11</v>
      </c>
      <c r="B4" s="49"/>
      <c r="C4" s="49"/>
      <c r="D4" s="49"/>
      <c r="E4" s="49"/>
      <c r="F4" s="49"/>
      <c r="G4" s="49"/>
      <c r="H4" s="49"/>
      <c r="I4" s="49"/>
    </row>
    <row r="5" spans="1:19" ht="9" customHeight="1" x14ac:dyDescent="0.45">
      <c r="A5" s="4"/>
      <c r="B5" s="4"/>
      <c r="C5" s="4"/>
      <c r="D5" s="4"/>
      <c r="E5" s="4"/>
      <c r="F5" s="4"/>
      <c r="G5" s="4"/>
      <c r="H5" s="4"/>
      <c r="I5" s="4"/>
      <c r="K5" s="4"/>
      <c r="L5" s="4"/>
      <c r="M5" s="4"/>
      <c r="N5" s="4"/>
    </row>
    <row r="7" spans="1:19" ht="18" x14ac:dyDescent="0.4">
      <c r="A7" s="50" t="s">
        <v>12</v>
      </c>
      <c r="B7" s="50"/>
      <c r="C7" s="50"/>
      <c r="D7" s="50"/>
      <c r="E7" s="50"/>
      <c r="F7" s="50"/>
      <c r="G7" s="50"/>
      <c r="H7" s="50"/>
      <c r="I7" s="50"/>
    </row>
    <row r="8" spans="1:19" ht="18" x14ac:dyDescent="0.4">
      <c r="A8" s="50" t="s">
        <v>19</v>
      </c>
      <c r="B8" s="50"/>
      <c r="C8" s="50"/>
      <c r="D8" s="50"/>
      <c r="E8" s="50"/>
      <c r="F8" s="50"/>
      <c r="G8" s="50"/>
      <c r="H8" s="50"/>
      <c r="I8" s="50"/>
    </row>
    <row r="9" spans="1:19" ht="18" x14ac:dyDescent="0.4">
      <c r="A9" s="51"/>
      <c r="B9" s="51"/>
      <c r="C9" s="51"/>
      <c r="D9" s="51"/>
      <c r="E9" s="51"/>
      <c r="F9" s="51"/>
      <c r="G9" s="51"/>
      <c r="H9" s="51"/>
      <c r="I9" s="51"/>
    </row>
    <row r="10" spans="1:19" ht="15.5" x14ac:dyDescent="0.35">
      <c r="A10" s="2" t="s">
        <v>6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7</v>
      </c>
      <c r="I10" s="2" t="s">
        <v>8</v>
      </c>
      <c r="J10" s="2" t="s">
        <v>316</v>
      </c>
      <c r="K10" s="2" t="s">
        <v>15</v>
      </c>
      <c r="L10" s="2" t="s">
        <v>31</v>
      </c>
      <c r="M10" s="2" t="s">
        <v>17</v>
      </c>
      <c r="N10" s="2"/>
      <c r="O10" s="35" t="s">
        <v>29</v>
      </c>
      <c r="P10" s="35" t="s">
        <v>24</v>
      </c>
      <c r="Q10" s="35" t="s">
        <v>36</v>
      </c>
      <c r="R10" s="35" t="s">
        <v>66</v>
      </c>
      <c r="S10" s="35" t="s">
        <v>65</v>
      </c>
    </row>
    <row r="11" spans="1:19" ht="25" customHeight="1" x14ac:dyDescent="0.3">
      <c r="A11" s="3">
        <v>1</v>
      </c>
      <c r="B11" s="3" t="s">
        <v>56</v>
      </c>
      <c r="C11" s="3" t="s">
        <v>57</v>
      </c>
      <c r="D11" s="3" t="s">
        <v>53</v>
      </c>
      <c r="E11" s="3">
        <v>54</v>
      </c>
      <c r="F11" s="3" t="s">
        <v>23</v>
      </c>
      <c r="G11" s="3" t="s">
        <v>24</v>
      </c>
      <c r="H11" s="3"/>
      <c r="I11" s="3"/>
      <c r="J11" s="21"/>
      <c r="K11" s="3"/>
      <c r="L11" s="3"/>
      <c r="M11" s="20"/>
      <c r="N11" s="20"/>
      <c r="O11" s="3"/>
      <c r="P11" s="3">
        <v>1</v>
      </c>
      <c r="Q11" s="3"/>
      <c r="R11" s="3"/>
      <c r="S11" s="3"/>
    </row>
    <row r="12" spans="1:19" ht="25" customHeight="1" x14ac:dyDescent="0.3">
      <c r="A12" s="3">
        <v>2</v>
      </c>
      <c r="B12" s="3" t="s">
        <v>110</v>
      </c>
      <c r="C12" s="3" t="s">
        <v>111</v>
      </c>
      <c r="D12" s="3" t="s">
        <v>112</v>
      </c>
      <c r="E12" s="3">
        <v>36</v>
      </c>
      <c r="F12" s="3" t="s">
        <v>23</v>
      </c>
      <c r="G12" s="3" t="s">
        <v>64</v>
      </c>
      <c r="H12" s="3"/>
      <c r="I12" s="3"/>
      <c r="J12" s="21"/>
      <c r="K12" s="3" t="s">
        <v>25</v>
      </c>
      <c r="L12" s="3">
        <v>8196287</v>
      </c>
      <c r="M12" s="20">
        <v>200</v>
      </c>
      <c r="N12" s="20"/>
      <c r="O12" s="3"/>
      <c r="P12" s="3"/>
      <c r="Q12" s="3"/>
      <c r="R12" s="3">
        <v>1</v>
      </c>
      <c r="S12" s="3"/>
    </row>
    <row r="13" spans="1:19" ht="25" customHeight="1" x14ac:dyDescent="0.3">
      <c r="A13" s="3">
        <v>3</v>
      </c>
      <c r="B13" s="3" t="s">
        <v>113</v>
      </c>
      <c r="C13" s="3" t="s">
        <v>21</v>
      </c>
      <c r="D13" s="3" t="s">
        <v>114</v>
      </c>
      <c r="E13" s="3">
        <v>40</v>
      </c>
      <c r="F13" s="3" t="s">
        <v>23</v>
      </c>
      <c r="G13" s="3" t="s">
        <v>36</v>
      </c>
      <c r="H13" s="3"/>
      <c r="I13" s="3"/>
      <c r="J13" s="21"/>
      <c r="K13" s="3" t="s">
        <v>25</v>
      </c>
      <c r="L13" s="3">
        <v>8196287</v>
      </c>
      <c r="M13" s="20">
        <v>200</v>
      </c>
      <c r="N13" s="20"/>
      <c r="O13" s="3"/>
      <c r="P13" s="3"/>
      <c r="Q13" s="3">
        <v>1</v>
      </c>
      <c r="R13" s="3"/>
      <c r="S13" s="3"/>
    </row>
    <row r="14" spans="1:19" ht="25" customHeight="1" x14ac:dyDescent="0.3">
      <c r="A14" s="3">
        <v>4</v>
      </c>
      <c r="B14" s="3" t="s">
        <v>115</v>
      </c>
      <c r="C14" s="3" t="s">
        <v>116</v>
      </c>
      <c r="D14" s="3" t="s">
        <v>117</v>
      </c>
      <c r="E14" s="3">
        <v>38</v>
      </c>
      <c r="F14" s="3" t="s">
        <v>23</v>
      </c>
      <c r="G14" s="3" t="s">
        <v>29</v>
      </c>
      <c r="H14" s="3"/>
      <c r="I14" s="3"/>
      <c r="J14" s="21"/>
      <c r="K14" s="3" t="s">
        <v>25</v>
      </c>
      <c r="L14" s="3">
        <v>8196287</v>
      </c>
      <c r="M14" s="20">
        <v>200</v>
      </c>
      <c r="N14" s="20"/>
      <c r="O14" s="3">
        <v>1</v>
      </c>
      <c r="P14" s="3"/>
      <c r="Q14" s="3"/>
      <c r="R14" s="3"/>
      <c r="S14" s="3"/>
    </row>
    <row r="15" spans="1:19" ht="25" customHeight="1" x14ac:dyDescent="0.3">
      <c r="A15" s="3">
        <v>5</v>
      </c>
      <c r="B15" s="3" t="s">
        <v>118</v>
      </c>
      <c r="C15" s="3" t="s">
        <v>119</v>
      </c>
      <c r="D15" s="3" t="s">
        <v>120</v>
      </c>
      <c r="E15" s="3">
        <v>44</v>
      </c>
      <c r="F15" s="3" t="s">
        <v>23</v>
      </c>
      <c r="G15" s="3" t="s">
        <v>24</v>
      </c>
      <c r="H15" s="3"/>
      <c r="I15" s="3"/>
      <c r="J15" s="21"/>
      <c r="K15" s="3" t="s">
        <v>25</v>
      </c>
      <c r="L15" s="3">
        <v>8196287</v>
      </c>
      <c r="M15" s="20">
        <v>200</v>
      </c>
      <c r="N15" s="20"/>
      <c r="O15" s="3"/>
      <c r="P15" s="3">
        <v>1</v>
      </c>
      <c r="Q15" s="3"/>
      <c r="R15" s="3"/>
      <c r="S15" s="3"/>
    </row>
    <row r="16" spans="1:19" ht="25" customHeight="1" x14ac:dyDescent="0.3">
      <c r="A16" s="3">
        <v>6</v>
      </c>
      <c r="B16" s="3" t="s">
        <v>121</v>
      </c>
      <c r="C16" s="3" t="s">
        <v>122</v>
      </c>
      <c r="D16" s="3" t="s">
        <v>123</v>
      </c>
      <c r="E16" s="3">
        <v>45</v>
      </c>
      <c r="F16" s="3" t="s">
        <v>23</v>
      </c>
      <c r="G16" s="3" t="s">
        <v>36</v>
      </c>
      <c r="H16" s="3"/>
      <c r="I16" s="3"/>
      <c r="J16" s="21"/>
      <c r="K16" s="3" t="s">
        <v>67</v>
      </c>
      <c r="L16" s="3">
        <v>230346</v>
      </c>
      <c r="M16" s="20">
        <v>200</v>
      </c>
      <c r="N16" s="20"/>
      <c r="O16" s="3"/>
      <c r="P16" s="3"/>
      <c r="Q16" s="3">
        <v>1</v>
      </c>
      <c r="R16" s="3"/>
      <c r="S16" s="3"/>
    </row>
    <row r="17" spans="1:19" ht="25" customHeight="1" x14ac:dyDescent="0.3">
      <c r="A17" s="3">
        <v>7</v>
      </c>
      <c r="B17" s="3" t="s">
        <v>124</v>
      </c>
      <c r="C17" s="3" t="s">
        <v>125</v>
      </c>
      <c r="D17" s="3" t="s">
        <v>126</v>
      </c>
      <c r="E17" s="3">
        <v>38</v>
      </c>
      <c r="F17" s="3" t="s">
        <v>23</v>
      </c>
      <c r="G17" s="3" t="s">
        <v>24</v>
      </c>
      <c r="H17" s="3"/>
      <c r="I17" s="3"/>
      <c r="J17" s="21"/>
      <c r="K17" s="3" t="s">
        <v>81</v>
      </c>
      <c r="L17" s="3"/>
      <c r="M17" s="20">
        <v>200</v>
      </c>
      <c r="N17" s="20"/>
      <c r="O17" s="3"/>
      <c r="P17" s="3">
        <v>1</v>
      </c>
      <c r="Q17" s="3"/>
      <c r="R17" s="3"/>
      <c r="S17" s="3"/>
    </row>
    <row r="18" spans="1:19" ht="25" customHeight="1" x14ac:dyDescent="0.3">
      <c r="A18" s="3">
        <v>8</v>
      </c>
      <c r="B18" s="3" t="s">
        <v>127</v>
      </c>
      <c r="C18" s="3" t="s">
        <v>128</v>
      </c>
      <c r="D18" s="3" t="s">
        <v>129</v>
      </c>
      <c r="E18" s="3">
        <v>45</v>
      </c>
      <c r="F18" s="3" t="s">
        <v>23</v>
      </c>
      <c r="G18" s="3" t="s">
        <v>24</v>
      </c>
      <c r="H18" s="3"/>
      <c r="I18" s="3"/>
      <c r="J18" s="21"/>
      <c r="K18" s="3" t="s">
        <v>83</v>
      </c>
      <c r="L18" s="3">
        <v>2409260</v>
      </c>
      <c r="M18" s="20">
        <v>200</v>
      </c>
      <c r="N18" s="20"/>
      <c r="O18" s="3"/>
      <c r="P18" s="3">
        <v>1</v>
      </c>
      <c r="Q18" s="3"/>
      <c r="R18" s="3"/>
      <c r="S18" s="3"/>
    </row>
    <row r="19" spans="1:19" ht="25" customHeight="1" x14ac:dyDescent="0.3">
      <c r="A19" s="3">
        <v>9</v>
      </c>
      <c r="B19" s="3" t="s">
        <v>196</v>
      </c>
      <c r="C19" s="3" t="s">
        <v>153</v>
      </c>
      <c r="D19" s="3" t="s">
        <v>176</v>
      </c>
      <c r="E19" s="3">
        <v>39</v>
      </c>
      <c r="F19" s="3" t="s">
        <v>23</v>
      </c>
      <c r="G19" s="3" t="s">
        <v>24</v>
      </c>
      <c r="H19" s="3"/>
      <c r="I19" s="3"/>
      <c r="J19" s="21"/>
      <c r="K19" s="3" t="s">
        <v>30</v>
      </c>
      <c r="L19" s="3">
        <v>57230624</v>
      </c>
      <c r="M19" s="20">
        <v>200</v>
      </c>
      <c r="N19" s="20"/>
      <c r="O19" s="3"/>
      <c r="P19" s="3">
        <v>1</v>
      </c>
      <c r="Q19" s="3"/>
      <c r="R19" s="3"/>
      <c r="S19" s="3"/>
    </row>
    <row r="20" spans="1:19" ht="25" customHeight="1" x14ac:dyDescent="0.3">
      <c r="A20" s="3">
        <v>10</v>
      </c>
      <c r="B20" s="3" t="s">
        <v>252</v>
      </c>
      <c r="C20" s="3" t="s">
        <v>251</v>
      </c>
      <c r="D20" s="3" t="s">
        <v>250</v>
      </c>
      <c r="E20" s="3">
        <v>48</v>
      </c>
      <c r="F20" s="3" t="s">
        <v>23</v>
      </c>
      <c r="G20" s="3" t="s">
        <v>24</v>
      </c>
      <c r="H20" s="3"/>
      <c r="I20" s="3"/>
      <c r="J20" s="38"/>
      <c r="K20" s="3" t="s">
        <v>249</v>
      </c>
      <c r="L20" s="3">
        <v>250926</v>
      </c>
      <c r="M20" s="20">
        <v>200</v>
      </c>
      <c r="N20" s="20"/>
      <c r="O20" s="3"/>
      <c r="P20" s="3">
        <v>1</v>
      </c>
      <c r="Q20" s="3"/>
      <c r="R20" s="3"/>
      <c r="S20" s="3"/>
    </row>
    <row r="21" spans="1:19" ht="25" customHeight="1" x14ac:dyDescent="0.3">
      <c r="A21" s="3">
        <v>11</v>
      </c>
      <c r="B21" s="3" t="s">
        <v>381</v>
      </c>
      <c r="C21" s="3" t="s">
        <v>382</v>
      </c>
      <c r="D21" s="3" t="s">
        <v>383</v>
      </c>
      <c r="E21" s="3">
        <v>43</v>
      </c>
      <c r="F21" s="3" t="s">
        <v>23</v>
      </c>
      <c r="G21" s="3" t="s">
        <v>29</v>
      </c>
      <c r="H21" s="3"/>
      <c r="I21" s="3"/>
      <c r="J21" s="24" t="s">
        <v>384</v>
      </c>
      <c r="K21" s="3" t="s">
        <v>30</v>
      </c>
      <c r="L21" s="3">
        <v>19433175</v>
      </c>
      <c r="M21" s="20">
        <v>200</v>
      </c>
      <c r="N21" s="20"/>
      <c r="O21" s="3">
        <v>1</v>
      </c>
      <c r="P21" s="3"/>
      <c r="Q21" s="3"/>
      <c r="R21" s="3"/>
      <c r="S21" s="3"/>
    </row>
    <row r="22" spans="1:19" ht="25" customHeight="1" x14ac:dyDescent="0.3">
      <c r="A22" s="3">
        <v>12</v>
      </c>
      <c r="B22" s="3" t="s">
        <v>410</v>
      </c>
      <c r="C22" s="3" t="s">
        <v>411</v>
      </c>
      <c r="D22" s="3" t="s">
        <v>354</v>
      </c>
      <c r="E22" s="3">
        <v>46</v>
      </c>
      <c r="F22" s="3" t="s">
        <v>23</v>
      </c>
      <c r="G22" s="3" t="s">
        <v>24</v>
      </c>
      <c r="H22" s="3"/>
      <c r="I22" s="3"/>
      <c r="J22" s="38" t="s">
        <v>412</v>
      </c>
      <c r="K22" s="3" t="s">
        <v>405</v>
      </c>
      <c r="L22" s="3">
        <v>6287</v>
      </c>
      <c r="M22" s="20">
        <v>200</v>
      </c>
      <c r="N22" s="20"/>
      <c r="O22" s="3"/>
      <c r="P22" s="3">
        <v>1</v>
      </c>
      <c r="Q22" s="3"/>
      <c r="R22" s="3"/>
      <c r="S22" s="3"/>
    </row>
    <row r="23" spans="1:19" ht="25" customHeight="1" x14ac:dyDescent="0.3">
      <c r="A23" s="3">
        <v>13</v>
      </c>
      <c r="B23" s="3" t="s">
        <v>445</v>
      </c>
      <c r="C23" s="3" t="s">
        <v>446</v>
      </c>
      <c r="D23" s="3" t="s">
        <v>433</v>
      </c>
      <c r="E23" s="3">
        <v>50</v>
      </c>
      <c r="F23" s="3" t="s">
        <v>23</v>
      </c>
      <c r="G23" s="3" t="s">
        <v>36</v>
      </c>
      <c r="H23" s="3"/>
      <c r="I23" s="3"/>
      <c r="J23" s="25" t="s">
        <v>406</v>
      </c>
      <c r="K23" s="3" t="s">
        <v>447</v>
      </c>
      <c r="L23" s="3" t="s">
        <v>448</v>
      </c>
      <c r="M23" s="20">
        <v>200</v>
      </c>
      <c r="N23" s="20"/>
      <c r="O23" s="3"/>
      <c r="P23" s="3"/>
      <c r="Q23" s="3">
        <v>1</v>
      </c>
      <c r="R23" s="3"/>
      <c r="S23" s="3"/>
    </row>
    <row r="24" spans="1:19" ht="25" customHeight="1" x14ac:dyDescent="0.3">
      <c r="A24" s="3">
        <v>14</v>
      </c>
      <c r="B24" s="39" t="s">
        <v>538</v>
      </c>
      <c r="C24" s="3"/>
      <c r="D24" s="3"/>
      <c r="E24" s="3">
        <v>46</v>
      </c>
      <c r="F24" s="3"/>
      <c r="G24" s="3" t="s">
        <v>24</v>
      </c>
      <c r="H24" s="3"/>
      <c r="I24" s="3"/>
      <c r="J24" s="25"/>
      <c r="K24" s="3"/>
      <c r="L24" s="3"/>
      <c r="M24" s="20"/>
      <c r="N24" s="20"/>
      <c r="O24" s="3"/>
      <c r="P24" s="3">
        <v>1</v>
      </c>
      <c r="Q24" s="3"/>
      <c r="R24" s="3"/>
      <c r="S24" s="3"/>
    </row>
    <row r="25" spans="1:19" ht="25" customHeight="1" x14ac:dyDescent="0.3">
      <c r="A25" s="3">
        <v>15</v>
      </c>
      <c r="B25" s="3" t="s">
        <v>596</v>
      </c>
      <c r="C25" s="3" t="s">
        <v>34</v>
      </c>
      <c r="D25" s="3" t="s">
        <v>111</v>
      </c>
      <c r="E25" s="3">
        <v>57</v>
      </c>
      <c r="F25" s="3" t="s">
        <v>23</v>
      </c>
      <c r="G25" s="3" t="s">
        <v>24</v>
      </c>
      <c r="H25" s="3"/>
      <c r="I25" s="3"/>
      <c r="J25" s="25" t="s">
        <v>597</v>
      </c>
      <c r="K25" s="3" t="s">
        <v>30</v>
      </c>
      <c r="L25" s="3">
        <v>84926023</v>
      </c>
      <c r="M25" s="20">
        <v>200</v>
      </c>
      <c r="N25" s="20"/>
      <c r="O25" s="3"/>
      <c r="P25" s="3">
        <v>1</v>
      </c>
      <c r="Q25" s="3"/>
      <c r="R25" s="3"/>
      <c r="S25" s="3"/>
    </row>
    <row r="26" spans="1:19" ht="25" customHeight="1" x14ac:dyDescent="0.3">
      <c r="A26" s="3">
        <v>16</v>
      </c>
      <c r="B26" s="3" t="s">
        <v>604</v>
      </c>
      <c r="C26" s="3" t="s">
        <v>109</v>
      </c>
      <c r="D26" s="3" t="s">
        <v>332</v>
      </c>
      <c r="E26" s="3">
        <v>44</v>
      </c>
      <c r="F26" s="3" t="s">
        <v>23</v>
      </c>
      <c r="G26" s="3" t="s">
        <v>24</v>
      </c>
      <c r="H26" s="3"/>
      <c r="I26" s="3"/>
      <c r="J26" s="25" t="s">
        <v>601</v>
      </c>
      <c r="K26" s="3" t="s">
        <v>447</v>
      </c>
      <c r="L26" s="3" t="s">
        <v>602</v>
      </c>
      <c r="M26" s="20">
        <v>1200</v>
      </c>
      <c r="N26" s="20"/>
      <c r="O26" s="3"/>
      <c r="P26" s="3">
        <v>1</v>
      </c>
      <c r="Q26" s="3"/>
      <c r="R26" s="3"/>
      <c r="S26" s="3"/>
    </row>
    <row r="27" spans="1:19" ht="25" customHeight="1" x14ac:dyDescent="0.3">
      <c r="A27" s="3">
        <v>17</v>
      </c>
      <c r="B27" s="3" t="s">
        <v>639</v>
      </c>
      <c r="C27" s="3" t="s">
        <v>94</v>
      </c>
      <c r="D27" s="3" t="s">
        <v>201</v>
      </c>
      <c r="E27" s="3">
        <v>47</v>
      </c>
      <c r="F27" s="3" t="s">
        <v>23</v>
      </c>
      <c r="G27" s="3" t="s">
        <v>29</v>
      </c>
      <c r="H27" s="3"/>
      <c r="I27" s="3"/>
      <c r="J27" s="25" t="s">
        <v>640</v>
      </c>
      <c r="K27" s="3" t="s">
        <v>83</v>
      </c>
      <c r="L27" s="3" t="s">
        <v>641</v>
      </c>
      <c r="M27" s="20">
        <v>200</v>
      </c>
      <c r="N27" s="20"/>
      <c r="O27" s="3">
        <v>1</v>
      </c>
      <c r="P27" s="3"/>
      <c r="Q27" s="3"/>
      <c r="R27" s="3"/>
      <c r="S27" s="3"/>
    </row>
    <row r="28" spans="1:19" ht="25" customHeight="1" x14ac:dyDescent="0.3">
      <c r="A28" s="3">
        <v>18</v>
      </c>
      <c r="B28" s="3" t="s">
        <v>698</v>
      </c>
      <c r="C28" s="3" t="s">
        <v>699</v>
      </c>
      <c r="D28" s="3" t="s">
        <v>700</v>
      </c>
      <c r="E28" s="3">
        <v>46</v>
      </c>
      <c r="F28" s="3" t="s">
        <v>23</v>
      </c>
      <c r="G28" s="3" t="s">
        <v>24</v>
      </c>
      <c r="H28" s="3"/>
      <c r="I28" s="3"/>
      <c r="J28" s="3" t="s">
        <v>694</v>
      </c>
      <c r="K28" s="3"/>
      <c r="L28" s="3"/>
      <c r="M28" s="20"/>
      <c r="N28" s="20"/>
      <c r="O28" s="3"/>
      <c r="P28" s="3">
        <v>1</v>
      </c>
      <c r="Q28" s="3"/>
      <c r="R28" s="3"/>
      <c r="S28" s="3"/>
    </row>
    <row r="29" spans="1:19" ht="25" customHeight="1" x14ac:dyDescent="0.3">
      <c r="A29" s="3">
        <v>19</v>
      </c>
      <c r="B29" s="3" t="s">
        <v>701</v>
      </c>
      <c r="C29" s="3" t="s">
        <v>702</v>
      </c>
      <c r="D29" s="3" t="s">
        <v>703</v>
      </c>
      <c r="E29" s="3">
        <v>39</v>
      </c>
      <c r="F29" s="3" t="s">
        <v>23</v>
      </c>
      <c r="G29" s="3" t="s">
        <v>24</v>
      </c>
      <c r="H29" s="3"/>
      <c r="I29" s="3"/>
      <c r="J29" s="3" t="s">
        <v>694</v>
      </c>
      <c r="K29" s="3"/>
      <c r="L29" s="3"/>
      <c r="M29" s="20"/>
      <c r="N29" s="20"/>
      <c r="O29" s="3"/>
      <c r="P29" s="3">
        <v>1</v>
      </c>
      <c r="Q29" s="3"/>
      <c r="R29" s="3"/>
      <c r="S29" s="3"/>
    </row>
    <row r="30" spans="1:19" ht="25" customHeight="1" x14ac:dyDescent="0.3">
      <c r="A30" s="3">
        <v>20</v>
      </c>
      <c r="B30" s="3" t="s">
        <v>704</v>
      </c>
      <c r="C30" s="3" t="s">
        <v>705</v>
      </c>
      <c r="D30" s="3" t="s">
        <v>706</v>
      </c>
      <c r="E30" s="3">
        <v>50</v>
      </c>
      <c r="F30" s="3" t="s">
        <v>23</v>
      </c>
      <c r="G30" s="3" t="s">
        <v>24</v>
      </c>
      <c r="H30" s="3"/>
      <c r="I30" s="3"/>
      <c r="J30" s="3" t="s">
        <v>696</v>
      </c>
      <c r="K30" s="3"/>
      <c r="L30" s="3"/>
      <c r="M30" s="20"/>
      <c r="N30" s="20"/>
      <c r="O30" s="3"/>
      <c r="P30" s="3">
        <v>1</v>
      </c>
      <c r="Q30" s="3"/>
      <c r="R30" s="3"/>
      <c r="S30" s="3"/>
    </row>
    <row r="31" spans="1:19" ht="25" customHeight="1" x14ac:dyDescent="0.3">
      <c r="A31" s="3">
        <v>21</v>
      </c>
      <c r="B31" s="3" t="s">
        <v>707</v>
      </c>
      <c r="C31" s="3" t="s">
        <v>708</v>
      </c>
      <c r="D31" s="3" t="s">
        <v>709</v>
      </c>
      <c r="E31" s="3">
        <v>51</v>
      </c>
      <c r="F31" s="3" t="s">
        <v>23</v>
      </c>
      <c r="G31" s="3" t="s">
        <v>36</v>
      </c>
      <c r="H31" s="3"/>
      <c r="I31" s="3"/>
      <c r="J31" s="3" t="s">
        <v>696</v>
      </c>
      <c r="K31" s="3"/>
      <c r="L31" s="3"/>
      <c r="M31" s="20"/>
      <c r="N31" s="20"/>
      <c r="O31" s="3"/>
      <c r="P31" s="3"/>
      <c r="Q31" s="3">
        <v>1</v>
      </c>
      <c r="R31" s="3"/>
      <c r="S31" s="3"/>
    </row>
    <row r="32" spans="1:19" ht="24.75" customHeight="1" x14ac:dyDescent="0.3">
      <c r="A32" s="3">
        <v>22</v>
      </c>
      <c r="B32" s="3" t="s">
        <v>710</v>
      </c>
      <c r="C32" s="3" t="s">
        <v>235</v>
      </c>
      <c r="D32" s="3" t="s">
        <v>711</v>
      </c>
      <c r="E32" s="3">
        <v>54</v>
      </c>
      <c r="F32" s="3" t="s">
        <v>23</v>
      </c>
      <c r="G32" s="3" t="s">
        <v>64</v>
      </c>
      <c r="H32" s="3"/>
      <c r="I32" s="3"/>
      <c r="J32" s="3" t="s">
        <v>696</v>
      </c>
      <c r="K32" s="3"/>
      <c r="L32" s="3"/>
      <c r="M32" s="20"/>
      <c r="N32" s="20"/>
      <c r="O32" s="3"/>
      <c r="P32" s="3"/>
      <c r="Q32" s="3"/>
      <c r="R32" s="3">
        <v>1</v>
      </c>
      <c r="S32" s="3"/>
    </row>
    <row r="33" spans="1:19" ht="25" customHeight="1" x14ac:dyDescent="0.3">
      <c r="A33" s="3">
        <v>23</v>
      </c>
      <c r="B33" s="3" t="s">
        <v>987</v>
      </c>
      <c r="C33" s="3" t="s">
        <v>988</v>
      </c>
      <c r="D33" s="3" t="s">
        <v>989</v>
      </c>
      <c r="E33" s="3">
        <v>36</v>
      </c>
      <c r="F33" s="3"/>
      <c r="G33" s="3" t="s">
        <v>36</v>
      </c>
      <c r="H33" s="3"/>
      <c r="I33" s="3"/>
      <c r="J33" s="3" t="s">
        <v>979</v>
      </c>
      <c r="K33" s="3"/>
      <c r="L33" s="3"/>
      <c r="M33" s="20"/>
      <c r="N33" s="20"/>
      <c r="O33" s="3"/>
      <c r="P33" s="3"/>
      <c r="Q33" s="3">
        <v>1</v>
      </c>
      <c r="R33" s="3"/>
      <c r="S33" s="3"/>
    </row>
    <row r="34" spans="1:19" ht="25" customHeight="1" x14ac:dyDescent="0.3">
      <c r="A34" s="3">
        <v>24</v>
      </c>
      <c r="B34" s="3" t="s">
        <v>1021</v>
      </c>
      <c r="C34" s="3" t="s">
        <v>375</v>
      </c>
      <c r="D34" s="3" t="s">
        <v>377</v>
      </c>
      <c r="E34" s="3">
        <v>44</v>
      </c>
      <c r="F34" s="3"/>
      <c r="G34" s="3" t="s">
        <v>24</v>
      </c>
      <c r="H34" s="3"/>
      <c r="I34" s="3"/>
      <c r="J34" s="25" t="s">
        <v>640</v>
      </c>
      <c r="K34" s="3"/>
      <c r="L34" s="3"/>
      <c r="M34" s="20"/>
      <c r="N34" s="20"/>
      <c r="O34" s="3"/>
      <c r="P34" s="3">
        <v>1</v>
      </c>
      <c r="Q34" s="3"/>
      <c r="R34" s="3"/>
      <c r="S34" s="3"/>
    </row>
    <row r="35" spans="1:19" ht="25" customHeight="1" x14ac:dyDescent="0.3">
      <c r="A35" s="3">
        <v>25</v>
      </c>
      <c r="B35" s="3" t="s">
        <v>1034</v>
      </c>
      <c r="C35" s="3" t="s">
        <v>1035</v>
      </c>
      <c r="D35" s="3" t="s">
        <v>254</v>
      </c>
      <c r="E35" s="3">
        <v>37</v>
      </c>
      <c r="F35" s="3"/>
      <c r="G35" s="3" t="s">
        <v>29</v>
      </c>
      <c r="H35" s="3"/>
      <c r="I35" s="3"/>
      <c r="J35" s="25" t="s">
        <v>640</v>
      </c>
      <c r="K35" s="3"/>
      <c r="L35" s="3"/>
      <c r="M35" s="20"/>
      <c r="N35" s="20"/>
      <c r="O35" s="3">
        <v>1</v>
      </c>
      <c r="P35" s="3"/>
      <c r="Q35" s="3"/>
      <c r="R35" s="3"/>
      <c r="S35" s="3"/>
    </row>
    <row r="36" spans="1:19" ht="25" customHeight="1" x14ac:dyDescent="0.3">
      <c r="A36" s="3">
        <v>26</v>
      </c>
      <c r="B36" s="3" t="s">
        <v>837</v>
      </c>
      <c r="C36" s="3" t="s">
        <v>222</v>
      </c>
      <c r="D36" s="3" t="s">
        <v>329</v>
      </c>
      <c r="E36" s="3">
        <v>36</v>
      </c>
      <c r="F36" s="3" t="s">
        <v>23</v>
      </c>
      <c r="G36" s="3" t="s">
        <v>29</v>
      </c>
      <c r="H36" s="3"/>
      <c r="I36" s="3"/>
      <c r="J36" s="25" t="s">
        <v>836</v>
      </c>
      <c r="K36" s="3"/>
      <c r="L36" s="3"/>
      <c r="M36" s="20"/>
      <c r="N36" s="20"/>
      <c r="O36" s="3">
        <v>1</v>
      </c>
      <c r="P36" s="3"/>
      <c r="Q36" s="3"/>
      <c r="R36" s="3"/>
      <c r="S36" s="3"/>
    </row>
    <row r="37" spans="1:19" ht="25" customHeight="1" x14ac:dyDescent="0.3">
      <c r="A37" s="3">
        <v>27</v>
      </c>
      <c r="B37" s="3" t="s">
        <v>939</v>
      </c>
      <c r="C37" s="3" t="s">
        <v>940</v>
      </c>
      <c r="D37" s="3" t="s">
        <v>941</v>
      </c>
      <c r="E37" s="3">
        <v>39</v>
      </c>
      <c r="F37" s="3" t="s">
        <v>23</v>
      </c>
      <c r="G37" s="3" t="s">
        <v>36</v>
      </c>
      <c r="H37" s="3"/>
      <c r="I37" s="3"/>
      <c r="J37" s="25" t="s">
        <v>942</v>
      </c>
      <c r="K37" s="3"/>
      <c r="L37" s="3"/>
      <c r="M37" s="20"/>
      <c r="N37" s="20"/>
      <c r="O37" s="3"/>
      <c r="P37" s="3"/>
      <c r="Q37" s="3">
        <v>1</v>
      </c>
      <c r="R37" s="3"/>
      <c r="S37" s="3"/>
    </row>
    <row r="38" spans="1:19" ht="25" customHeight="1" x14ac:dyDescent="0.3">
      <c r="A38" s="3">
        <v>28</v>
      </c>
      <c r="B38" s="3" t="s">
        <v>953</v>
      </c>
      <c r="C38" s="3" t="s">
        <v>954</v>
      </c>
      <c r="D38" s="3" t="s">
        <v>111</v>
      </c>
      <c r="E38" s="3">
        <v>48</v>
      </c>
      <c r="F38" s="3" t="s">
        <v>23</v>
      </c>
      <c r="G38" s="3" t="s">
        <v>64</v>
      </c>
      <c r="H38" s="3"/>
      <c r="I38" s="3"/>
      <c r="J38" s="25" t="s">
        <v>942</v>
      </c>
      <c r="K38" s="3"/>
      <c r="L38" s="3"/>
      <c r="M38" s="20"/>
      <c r="N38" s="20"/>
      <c r="O38" s="3"/>
      <c r="P38" s="3"/>
      <c r="Q38" s="3"/>
      <c r="R38" s="3">
        <v>1</v>
      </c>
      <c r="S38" s="3"/>
    </row>
    <row r="39" spans="1:19" ht="25" customHeight="1" x14ac:dyDescent="0.3">
      <c r="A39" s="3">
        <v>29</v>
      </c>
      <c r="B39" s="3" t="s">
        <v>956</v>
      </c>
      <c r="C39" s="3" t="s">
        <v>238</v>
      </c>
      <c r="D39" s="3" t="s">
        <v>957</v>
      </c>
      <c r="E39" s="3">
        <v>41</v>
      </c>
      <c r="F39" s="3" t="s">
        <v>23</v>
      </c>
      <c r="G39" s="3" t="s">
        <v>36</v>
      </c>
      <c r="H39" s="3"/>
      <c r="I39" s="3"/>
      <c r="J39" s="25" t="s">
        <v>942</v>
      </c>
      <c r="K39" s="3"/>
      <c r="L39" s="3"/>
      <c r="M39" s="20"/>
      <c r="N39" s="20"/>
      <c r="O39" s="3"/>
      <c r="P39" s="3"/>
      <c r="Q39" s="3">
        <v>1</v>
      </c>
      <c r="R39" s="3"/>
      <c r="S39" s="3"/>
    </row>
    <row r="40" spans="1:19" ht="25" customHeight="1" x14ac:dyDescent="0.3">
      <c r="A40" s="3">
        <v>30</v>
      </c>
      <c r="B40" s="3" t="s">
        <v>1197</v>
      </c>
      <c r="C40" s="3" t="s">
        <v>1198</v>
      </c>
      <c r="D40" s="3" t="s">
        <v>85</v>
      </c>
      <c r="E40" s="3">
        <v>36</v>
      </c>
      <c r="F40" s="3" t="s">
        <v>23</v>
      </c>
      <c r="G40" s="3" t="s">
        <v>24</v>
      </c>
      <c r="H40" s="3"/>
      <c r="I40" s="3"/>
      <c r="J40" s="25" t="s">
        <v>1196</v>
      </c>
      <c r="K40" s="3"/>
      <c r="L40" s="3"/>
      <c r="M40" s="20"/>
      <c r="N40" s="20"/>
      <c r="O40" s="3"/>
      <c r="P40" s="3">
        <v>1</v>
      </c>
      <c r="Q40" s="3"/>
      <c r="R40" s="3"/>
      <c r="S40" s="3"/>
    </row>
    <row r="41" spans="1:19" ht="25" customHeight="1" x14ac:dyDescent="0.3">
      <c r="A41" s="3">
        <v>31</v>
      </c>
      <c r="B41" s="3" t="s">
        <v>1199</v>
      </c>
      <c r="C41" s="3" t="s">
        <v>1200</v>
      </c>
      <c r="D41" s="3" t="s">
        <v>200</v>
      </c>
      <c r="E41" s="3">
        <v>38</v>
      </c>
      <c r="F41" s="3" t="s">
        <v>23</v>
      </c>
      <c r="G41" s="3" t="s">
        <v>1201</v>
      </c>
      <c r="H41" s="3"/>
      <c r="I41" s="3"/>
      <c r="J41" s="25" t="s">
        <v>1196</v>
      </c>
      <c r="K41" s="3"/>
      <c r="L41" s="3"/>
      <c r="M41" s="20"/>
      <c r="N41" s="20"/>
      <c r="O41" s="3"/>
      <c r="P41" s="3"/>
      <c r="Q41" s="3"/>
      <c r="R41" s="3">
        <v>1</v>
      </c>
      <c r="S41" s="3"/>
    </row>
    <row r="42" spans="1:19" ht="25" customHeight="1" x14ac:dyDescent="0.3">
      <c r="A42" s="3">
        <v>32</v>
      </c>
      <c r="B42" s="3" t="s">
        <v>1202</v>
      </c>
      <c r="C42" s="3" t="s">
        <v>938</v>
      </c>
      <c r="D42" s="3" t="s">
        <v>111</v>
      </c>
      <c r="E42" s="3">
        <v>44</v>
      </c>
      <c r="F42" s="3" t="s">
        <v>23</v>
      </c>
      <c r="G42" s="3" t="s">
        <v>29</v>
      </c>
      <c r="H42" s="3"/>
      <c r="I42" s="3"/>
      <c r="J42" s="25" t="s">
        <v>1196</v>
      </c>
      <c r="K42" s="3"/>
      <c r="L42" s="3"/>
      <c r="M42" s="20"/>
      <c r="N42" s="20"/>
      <c r="O42" s="3">
        <v>1</v>
      </c>
      <c r="P42" s="3"/>
      <c r="Q42" s="3"/>
      <c r="R42" s="3"/>
      <c r="S42" s="3"/>
    </row>
    <row r="43" spans="1:19" ht="25" customHeight="1" x14ac:dyDescent="0.3">
      <c r="A43" s="3">
        <v>33</v>
      </c>
      <c r="B43" s="3" t="s">
        <v>1203</v>
      </c>
      <c r="C43" s="3" t="s">
        <v>1204</v>
      </c>
      <c r="D43" s="3" t="s">
        <v>1205</v>
      </c>
      <c r="E43" s="3">
        <v>39</v>
      </c>
      <c r="F43" s="3" t="s">
        <v>23</v>
      </c>
      <c r="G43" s="3" t="s">
        <v>24</v>
      </c>
      <c r="H43" s="3"/>
      <c r="I43" s="3"/>
      <c r="J43" s="25" t="s">
        <v>1196</v>
      </c>
      <c r="K43" s="3"/>
      <c r="L43" s="3"/>
      <c r="M43" s="20"/>
      <c r="N43" s="20"/>
      <c r="O43" s="3"/>
      <c r="P43" s="3">
        <v>1</v>
      </c>
      <c r="Q43" s="3"/>
      <c r="R43" s="3"/>
      <c r="S43" s="3"/>
    </row>
    <row r="44" spans="1:19" ht="25" customHeight="1" x14ac:dyDescent="0.3">
      <c r="A44" s="3">
        <v>34</v>
      </c>
      <c r="B44" s="3" t="s">
        <v>1206</v>
      </c>
      <c r="C44" s="3" t="s">
        <v>1180</v>
      </c>
      <c r="D44" s="3" t="s">
        <v>137</v>
      </c>
      <c r="E44" s="3">
        <v>43</v>
      </c>
      <c r="F44" s="3" t="s">
        <v>23</v>
      </c>
      <c r="G44" s="3" t="s">
        <v>24</v>
      </c>
      <c r="H44" s="3"/>
      <c r="I44" s="3"/>
      <c r="J44" s="25" t="s">
        <v>1196</v>
      </c>
      <c r="K44" s="3"/>
      <c r="L44" s="3"/>
      <c r="M44" s="20"/>
      <c r="N44" s="20"/>
      <c r="O44" s="3"/>
      <c r="P44" s="3">
        <v>1</v>
      </c>
      <c r="Q44" s="3"/>
      <c r="R44" s="3"/>
      <c r="S44" s="3"/>
    </row>
    <row r="45" spans="1:19" ht="25" customHeight="1" x14ac:dyDescent="0.3">
      <c r="A45" s="3">
        <v>35</v>
      </c>
      <c r="B45" s="3" t="s">
        <v>1207</v>
      </c>
      <c r="C45" s="3" t="s">
        <v>1184</v>
      </c>
      <c r="D45" s="3" t="s">
        <v>580</v>
      </c>
      <c r="E45" s="3">
        <v>37</v>
      </c>
      <c r="F45" s="3" t="s">
        <v>23</v>
      </c>
      <c r="G45" s="3" t="s">
        <v>29</v>
      </c>
      <c r="H45" s="3"/>
      <c r="I45" s="3"/>
      <c r="J45" s="25" t="s">
        <v>1196</v>
      </c>
      <c r="K45" s="3"/>
      <c r="L45" s="3"/>
      <c r="M45" s="20"/>
      <c r="N45" s="20"/>
      <c r="O45" s="3">
        <v>1</v>
      </c>
      <c r="P45" s="3"/>
      <c r="Q45" s="3"/>
      <c r="R45" s="3"/>
      <c r="S45" s="3"/>
    </row>
    <row r="46" spans="1:19" ht="25" customHeight="1" x14ac:dyDescent="0.3">
      <c r="A46" s="3">
        <v>36</v>
      </c>
      <c r="B46" s="3" t="s">
        <v>1208</v>
      </c>
      <c r="C46" s="3" t="s">
        <v>1209</v>
      </c>
      <c r="D46" s="3" t="s">
        <v>522</v>
      </c>
      <c r="E46" s="3">
        <v>37</v>
      </c>
      <c r="F46" s="3" t="s">
        <v>23</v>
      </c>
      <c r="G46" s="3" t="s">
        <v>24</v>
      </c>
      <c r="H46" s="3"/>
      <c r="I46" s="3"/>
      <c r="J46" s="25" t="s">
        <v>1196</v>
      </c>
      <c r="K46" s="3"/>
      <c r="L46" s="3"/>
      <c r="M46" s="20"/>
      <c r="N46" s="20"/>
      <c r="O46" s="3"/>
      <c r="P46" s="3">
        <v>1</v>
      </c>
      <c r="Q46" s="3"/>
      <c r="R46" s="3"/>
      <c r="S46" s="3"/>
    </row>
    <row r="47" spans="1:19" ht="25" customHeight="1" x14ac:dyDescent="0.3">
      <c r="A47" s="3">
        <v>37</v>
      </c>
      <c r="B47" s="3" t="s">
        <v>1210</v>
      </c>
      <c r="C47" s="3" t="s">
        <v>433</v>
      </c>
      <c r="D47" s="3" t="s">
        <v>1211</v>
      </c>
      <c r="E47" s="3">
        <v>40</v>
      </c>
      <c r="F47" s="3" t="s">
        <v>23</v>
      </c>
      <c r="G47" s="3" t="s">
        <v>24</v>
      </c>
      <c r="H47" s="3"/>
      <c r="I47" s="3"/>
      <c r="J47" s="25" t="s">
        <v>1196</v>
      </c>
      <c r="K47" s="3"/>
      <c r="L47" s="3"/>
      <c r="M47" s="20"/>
      <c r="N47" s="20"/>
      <c r="O47" s="3"/>
      <c r="P47" s="3">
        <v>1</v>
      </c>
      <c r="Q47" s="3"/>
      <c r="R47" s="3"/>
      <c r="S47" s="3"/>
    </row>
    <row r="48" spans="1:19" ht="25" customHeight="1" x14ac:dyDescent="0.3">
      <c r="A48" s="3">
        <v>38</v>
      </c>
      <c r="B48" s="3" t="s">
        <v>1212</v>
      </c>
      <c r="C48" s="3" t="s">
        <v>1213</v>
      </c>
      <c r="D48" s="3" t="s">
        <v>1214</v>
      </c>
      <c r="E48" s="3">
        <v>41</v>
      </c>
      <c r="F48" s="3" t="s">
        <v>23</v>
      </c>
      <c r="G48" s="3" t="s">
        <v>24</v>
      </c>
      <c r="H48" s="3"/>
      <c r="I48" s="3"/>
      <c r="J48" s="25" t="s">
        <v>1196</v>
      </c>
      <c r="K48" s="3"/>
      <c r="L48" s="3"/>
      <c r="M48" s="20"/>
      <c r="N48" s="20"/>
      <c r="O48" s="3"/>
      <c r="P48" s="3">
        <v>1</v>
      </c>
      <c r="Q48" s="3"/>
      <c r="R48" s="3"/>
      <c r="S48" s="3"/>
    </row>
    <row r="49" spans="1:19" ht="25" customHeight="1" x14ac:dyDescent="0.3">
      <c r="A49" s="3">
        <v>39</v>
      </c>
      <c r="B49" s="3" t="s">
        <v>1359</v>
      </c>
      <c r="C49" s="3" t="s">
        <v>228</v>
      </c>
      <c r="D49" s="3" t="s">
        <v>795</v>
      </c>
      <c r="E49" s="3">
        <v>56</v>
      </c>
      <c r="F49" s="3" t="s">
        <v>23</v>
      </c>
      <c r="G49" s="3" t="s">
        <v>29</v>
      </c>
      <c r="H49" s="3"/>
      <c r="I49" s="3"/>
      <c r="J49" s="3" t="s">
        <v>567</v>
      </c>
      <c r="K49" s="3"/>
      <c r="L49" s="3"/>
      <c r="M49" s="20"/>
      <c r="N49" s="20"/>
      <c r="O49" s="3">
        <v>1</v>
      </c>
      <c r="P49" s="3"/>
      <c r="Q49" s="3"/>
      <c r="R49" s="3"/>
      <c r="S49" s="3"/>
    </row>
    <row r="50" spans="1:19" ht="25" customHeight="1" x14ac:dyDescent="0.3">
      <c r="A50" s="3">
        <v>40</v>
      </c>
      <c r="B50" s="3" t="s">
        <v>893</v>
      </c>
      <c r="C50" s="3" t="s">
        <v>138</v>
      </c>
      <c r="D50" s="3" t="s">
        <v>111</v>
      </c>
      <c r="E50" s="3">
        <v>42</v>
      </c>
      <c r="F50" s="3" t="s">
        <v>23</v>
      </c>
      <c r="G50" s="3" t="s">
        <v>24</v>
      </c>
      <c r="H50" s="3"/>
      <c r="I50" s="3"/>
      <c r="J50" s="3" t="s">
        <v>1369</v>
      </c>
      <c r="K50" s="3"/>
      <c r="L50" s="3"/>
      <c r="M50" s="20"/>
      <c r="N50" s="20"/>
      <c r="O50" s="3"/>
      <c r="P50" s="3">
        <v>1</v>
      </c>
      <c r="Q50" s="3"/>
      <c r="R50" s="3"/>
      <c r="S50" s="3"/>
    </row>
    <row r="51" spans="1:19" ht="25" customHeight="1" x14ac:dyDescent="0.3">
      <c r="A51" s="3">
        <v>41</v>
      </c>
      <c r="B51" s="3" t="s">
        <v>1360</v>
      </c>
      <c r="C51" s="3" t="s">
        <v>831</v>
      </c>
      <c r="D51" s="3" t="s">
        <v>558</v>
      </c>
      <c r="E51" s="3">
        <v>43</v>
      </c>
      <c r="F51" s="3" t="s">
        <v>23</v>
      </c>
      <c r="G51" s="3" t="s">
        <v>36</v>
      </c>
      <c r="H51" s="3"/>
      <c r="I51" s="3"/>
      <c r="J51" s="3" t="s">
        <v>453</v>
      </c>
      <c r="K51" s="3"/>
      <c r="L51" s="3"/>
      <c r="M51" s="20"/>
      <c r="N51" s="20"/>
      <c r="O51" s="3">
        <v>1</v>
      </c>
      <c r="P51" s="3"/>
      <c r="Q51" s="3"/>
      <c r="R51" s="3"/>
      <c r="S51" s="3"/>
    </row>
    <row r="52" spans="1:19" ht="25" customHeight="1" x14ac:dyDescent="0.3">
      <c r="A52" s="3">
        <v>42</v>
      </c>
      <c r="B52" s="3" t="s">
        <v>1361</v>
      </c>
      <c r="C52" s="3" t="s">
        <v>464</v>
      </c>
      <c r="D52" s="3" t="s">
        <v>441</v>
      </c>
      <c r="E52" s="3">
        <v>52</v>
      </c>
      <c r="F52" s="3" t="s">
        <v>23</v>
      </c>
      <c r="G52" s="3" t="s">
        <v>36</v>
      </c>
      <c r="H52" s="3"/>
      <c r="I52" s="3"/>
      <c r="J52" s="3" t="s">
        <v>1370</v>
      </c>
      <c r="K52" s="3"/>
      <c r="L52" s="3"/>
      <c r="M52" s="20"/>
      <c r="N52" s="20"/>
      <c r="O52" s="3">
        <v>1</v>
      </c>
      <c r="P52" s="3"/>
      <c r="Q52" s="3"/>
      <c r="R52" s="3"/>
      <c r="S52" s="3"/>
    </row>
    <row r="53" spans="1:19" ht="25" customHeight="1" x14ac:dyDescent="0.3">
      <c r="A53" s="3">
        <v>43</v>
      </c>
      <c r="B53" s="3" t="s">
        <v>1362</v>
      </c>
      <c r="C53" s="3" t="s">
        <v>668</v>
      </c>
      <c r="D53" s="3" t="s">
        <v>228</v>
      </c>
      <c r="E53" s="3">
        <v>40</v>
      </c>
      <c r="F53" s="3" t="s">
        <v>23</v>
      </c>
      <c r="G53" s="3" t="s">
        <v>24</v>
      </c>
      <c r="H53" s="3"/>
      <c r="I53" s="3"/>
      <c r="J53" s="3" t="s">
        <v>571</v>
      </c>
      <c r="K53" s="3"/>
      <c r="L53" s="3"/>
      <c r="M53" s="20"/>
      <c r="N53" s="20"/>
      <c r="O53" s="3"/>
      <c r="P53" s="3">
        <v>1</v>
      </c>
      <c r="Q53" s="3"/>
      <c r="R53" s="3"/>
      <c r="S53" s="3"/>
    </row>
    <row r="54" spans="1:19" ht="25" customHeight="1" x14ac:dyDescent="0.3">
      <c r="A54" s="3">
        <v>44</v>
      </c>
      <c r="B54" s="3" t="s">
        <v>1363</v>
      </c>
      <c r="C54" s="3" t="s">
        <v>1364</v>
      </c>
      <c r="D54" s="3" t="s">
        <v>51</v>
      </c>
      <c r="E54" s="3">
        <v>47</v>
      </c>
      <c r="F54" s="3" t="s">
        <v>23</v>
      </c>
      <c r="G54" s="3" t="s">
        <v>64</v>
      </c>
      <c r="H54" s="3"/>
      <c r="I54" s="3"/>
      <c r="J54" s="3" t="s">
        <v>567</v>
      </c>
      <c r="K54" s="3"/>
      <c r="L54" s="3"/>
      <c r="M54" s="20"/>
      <c r="N54" s="20"/>
      <c r="O54" s="3"/>
      <c r="P54" s="3"/>
      <c r="Q54" s="3"/>
      <c r="R54" s="3">
        <v>1</v>
      </c>
      <c r="S54" s="3"/>
    </row>
    <row r="55" spans="1:19" ht="25" customHeight="1" x14ac:dyDescent="0.3">
      <c r="A55" s="3">
        <v>45</v>
      </c>
      <c r="B55" s="3" t="s">
        <v>1365</v>
      </c>
      <c r="C55" s="3" t="s">
        <v>200</v>
      </c>
      <c r="D55" s="3" t="s">
        <v>1366</v>
      </c>
      <c r="E55" s="3">
        <v>36</v>
      </c>
      <c r="F55" s="3" t="s">
        <v>23</v>
      </c>
      <c r="G55" s="3" t="s">
        <v>461</v>
      </c>
      <c r="H55" s="3"/>
      <c r="I55" s="3"/>
      <c r="J55" s="3" t="s">
        <v>567</v>
      </c>
      <c r="K55" s="3"/>
      <c r="L55" s="3"/>
      <c r="M55" s="20"/>
      <c r="N55" s="20"/>
      <c r="O55" s="3">
        <v>1</v>
      </c>
      <c r="P55" s="3"/>
      <c r="Q55" s="3"/>
      <c r="R55" s="3"/>
      <c r="S55" s="3"/>
    </row>
    <row r="56" spans="1:19" ht="25" customHeight="1" x14ac:dyDescent="0.3">
      <c r="A56" s="3">
        <v>46</v>
      </c>
      <c r="B56" s="3" t="s">
        <v>1531</v>
      </c>
      <c r="C56" s="3" t="s">
        <v>1532</v>
      </c>
      <c r="D56" s="3" t="s">
        <v>946</v>
      </c>
      <c r="E56" s="3">
        <v>41</v>
      </c>
      <c r="F56" s="3" t="s">
        <v>23</v>
      </c>
      <c r="G56" s="3" t="s">
        <v>36</v>
      </c>
      <c r="H56" s="3"/>
      <c r="I56" s="3"/>
      <c r="J56" s="40" t="s">
        <v>1529</v>
      </c>
      <c r="K56" s="3"/>
      <c r="L56" s="3"/>
      <c r="M56" s="20"/>
      <c r="N56" s="20"/>
      <c r="O56" s="3"/>
      <c r="P56" s="3"/>
      <c r="Q56" s="3">
        <v>1</v>
      </c>
      <c r="R56" s="3"/>
      <c r="S56" s="3"/>
    </row>
    <row r="57" spans="1:19" ht="25" customHeight="1" x14ac:dyDescent="0.3">
      <c r="A57" s="3">
        <v>47</v>
      </c>
      <c r="B57" s="3" t="s">
        <v>1579</v>
      </c>
      <c r="C57" s="3" t="s">
        <v>91</v>
      </c>
      <c r="D57" s="3" t="s">
        <v>1580</v>
      </c>
      <c r="E57" s="3">
        <v>41</v>
      </c>
      <c r="F57" s="3" t="s">
        <v>23</v>
      </c>
      <c r="G57" s="3" t="s">
        <v>36</v>
      </c>
      <c r="H57" s="3"/>
      <c r="I57" s="3"/>
      <c r="J57" s="25" t="s">
        <v>1581</v>
      </c>
      <c r="K57" s="3"/>
      <c r="L57" s="3"/>
      <c r="M57" s="20"/>
      <c r="N57" s="20"/>
      <c r="O57" s="3"/>
      <c r="P57" s="3"/>
      <c r="Q57" s="3">
        <v>1</v>
      </c>
      <c r="R57" s="3"/>
      <c r="S57" s="3"/>
    </row>
    <row r="58" spans="1:19" ht="25" customHeight="1" x14ac:dyDescent="0.3">
      <c r="A58" s="3">
        <v>48</v>
      </c>
      <c r="B58" s="3" t="s">
        <v>1739</v>
      </c>
      <c r="C58" s="3" t="s">
        <v>1740</v>
      </c>
      <c r="D58" s="3" t="s">
        <v>946</v>
      </c>
      <c r="E58" s="3">
        <v>36</v>
      </c>
      <c r="F58" s="3" t="s">
        <v>23</v>
      </c>
      <c r="G58" s="3" t="s">
        <v>24</v>
      </c>
      <c r="H58" s="3"/>
      <c r="I58" s="3"/>
      <c r="J58" s="25" t="s">
        <v>1741</v>
      </c>
      <c r="K58" s="3"/>
      <c r="L58" s="3"/>
      <c r="M58" s="20"/>
      <c r="N58" s="20"/>
      <c r="O58" s="3"/>
      <c r="P58" s="3">
        <v>1</v>
      </c>
      <c r="Q58" s="3"/>
      <c r="R58" s="3"/>
      <c r="S58" s="3"/>
    </row>
    <row r="59" spans="1:19" ht="25" customHeight="1" x14ac:dyDescent="0.3">
      <c r="A59" s="3">
        <v>49</v>
      </c>
      <c r="B59" s="3" t="s">
        <v>1887</v>
      </c>
      <c r="C59" s="3" t="s">
        <v>1888</v>
      </c>
      <c r="D59" s="3" t="s">
        <v>306</v>
      </c>
      <c r="E59" s="3">
        <v>43</v>
      </c>
      <c r="F59" s="3" t="s">
        <v>23</v>
      </c>
      <c r="G59" s="3" t="s">
        <v>64</v>
      </c>
      <c r="H59" s="3"/>
      <c r="I59" s="3"/>
      <c r="J59" s="25" t="s">
        <v>1889</v>
      </c>
      <c r="K59" s="3"/>
      <c r="L59" s="3"/>
      <c r="M59" s="20"/>
      <c r="N59" s="20"/>
      <c r="O59" s="3"/>
      <c r="P59" s="3"/>
      <c r="Q59" s="3"/>
      <c r="R59" s="3">
        <v>1</v>
      </c>
      <c r="S59" s="3"/>
    </row>
    <row r="60" spans="1:19" ht="25" customHeight="1" x14ac:dyDescent="0.3">
      <c r="A60" s="3">
        <v>50</v>
      </c>
      <c r="B60" s="3" t="s">
        <v>1892</v>
      </c>
      <c r="C60" s="3" t="s">
        <v>558</v>
      </c>
      <c r="D60" s="3" t="s">
        <v>91</v>
      </c>
      <c r="E60" s="3">
        <v>39</v>
      </c>
      <c r="F60" s="3" t="s">
        <v>23</v>
      </c>
      <c r="G60" s="3" t="s">
        <v>36</v>
      </c>
      <c r="H60" s="3"/>
      <c r="I60" s="3"/>
      <c r="J60" s="25" t="s">
        <v>1893</v>
      </c>
      <c r="K60" s="3"/>
      <c r="L60" s="3"/>
      <c r="M60" s="20"/>
      <c r="N60" s="20"/>
      <c r="O60" s="3"/>
      <c r="P60" s="3"/>
      <c r="Q60" s="3">
        <v>1</v>
      </c>
      <c r="R60" s="3"/>
      <c r="S60" s="3"/>
    </row>
    <row r="61" spans="1:19" ht="25" customHeight="1" x14ac:dyDescent="0.3">
      <c r="A61" s="3">
        <v>51</v>
      </c>
      <c r="B61" s="3" t="s">
        <v>1996</v>
      </c>
      <c r="C61" s="3" t="s">
        <v>1997</v>
      </c>
      <c r="D61" s="3" t="s">
        <v>306</v>
      </c>
      <c r="E61" s="3">
        <v>36</v>
      </c>
      <c r="F61" s="3" t="s">
        <v>23</v>
      </c>
      <c r="G61" s="3" t="s">
        <v>29</v>
      </c>
      <c r="H61" s="3"/>
      <c r="I61" s="3"/>
      <c r="J61" s="3" t="s">
        <v>2004</v>
      </c>
      <c r="K61" s="3"/>
      <c r="L61" s="3"/>
      <c r="M61" s="20"/>
      <c r="N61" s="20"/>
      <c r="O61" s="3"/>
      <c r="P61" s="3">
        <v>1</v>
      </c>
      <c r="Q61" s="3"/>
      <c r="R61" s="3"/>
      <c r="S61" s="3"/>
    </row>
    <row r="62" spans="1:19" ht="25" customHeight="1" x14ac:dyDescent="0.3">
      <c r="A62" s="3">
        <v>52</v>
      </c>
      <c r="B62" s="3" t="s">
        <v>1998</v>
      </c>
      <c r="C62" s="3" t="s">
        <v>120</v>
      </c>
      <c r="D62" s="3" t="s">
        <v>109</v>
      </c>
      <c r="E62" s="3">
        <v>37</v>
      </c>
      <c r="F62" s="3" t="s">
        <v>23</v>
      </c>
      <c r="G62" s="3" t="s">
        <v>36</v>
      </c>
      <c r="H62" s="3"/>
      <c r="I62" s="3"/>
      <c r="J62" s="3" t="s">
        <v>2004</v>
      </c>
      <c r="K62" s="3"/>
      <c r="L62" s="3"/>
      <c r="M62" s="20"/>
      <c r="N62" s="20"/>
      <c r="O62" s="3"/>
      <c r="P62" s="3"/>
      <c r="Q62" s="3">
        <v>1</v>
      </c>
      <c r="R62" s="3"/>
      <c r="S62" s="3"/>
    </row>
    <row r="63" spans="1:19" ht="25" customHeight="1" x14ac:dyDescent="0.3">
      <c r="A63" s="3">
        <v>53</v>
      </c>
      <c r="B63" s="3" t="s">
        <v>575</v>
      </c>
      <c r="C63" s="3" t="s">
        <v>1999</v>
      </c>
      <c r="D63" s="3" t="s">
        <v>2000</v>
      </c>
      <c r="E63" s="3">
        <v>43</v>
      </c>
      <c r="F63" s="3" t="s">
        <v>23</v>
      </c>
      <c r="G63" s="3" t="s">
        <v>24</v>
      </c>
      <c r="H63" s="3"/>
      <c r="I63" s="3"/>
      <c r="J63" s="3" t="s">
        <v>581</v>
      </c>
      <c r="K63" s="3"/>
      <c r="L63" s="3"/>
      <c r="M63" s="20"/>
      <c r="N63" s="20"/>
      <c r="O63" s="3"/>
      <c r="P63" s="3">
        <v>1</v>
      </c>
      <c r="Q63" s="3"/>
      <c r="R63" s="3"/>
      <c r="S63" s="3"/>
    </row>
    <row r="64" spans="1:19" ht="25" customHeight="1" x14ac:dyDescent="0.3">
      <c r="A64" s="3">
        <v>54</v>
      </c>
      <c r="B64" s="41" t="s">
        <v>2001</v>
      </c>
      <c r="C64" s="41" t="s">
        <v>153</v>
      </c>
      <c r="D64" s="41" t="s">
        <v>420</v>
      </c>
      <c r="E64" s="42">
        <v>44</v>
      </c>
      <c r="F64" s="3" t="s">
        <v>23</v>
      </c>
      <c r="G64" s="3" t="s">
        <v>65</v>
      </c>
      <c r="H64" s="3"/>
      <c r="I64" s="3"/>
      <c r="J64" s="3" t="s">
        <v>2005</v>
      </c>
      <c r="K64" s="3"/>
      <c r="L64" s="3"/>
      <c r="M64" s="20"/>
      <c r="N64" s="20"/>
      <c r="O64" s="3"/>
      <c r="P64" s="3"/>
      <c r="Q64" s="3"/>
      <c r="R64" s="3">
        <v>1</v>
      </c>
      <c r="S64" s="3"/>
    </row>
    <row r="65" spans="1:19" ht="25" customHeight="1" x14ac:dyDescent="0.3">
      <c r="A65" s="3">
        <v>55</v>
      </c>
      <c r="B65" s="41" t="s">
        <v>2002</v>
      </c>
      <c r="C65" s="41" t="s">
        <v>111</v>
      </c>
      <c r="D65" s="41" t="s">
        <v>327</v>
      </c>
      <c r="E65" s="42">
        <v>48</v>
      </c>
      <c r="F65" s="3" t="s">
        <v>23</v>
      </c>
      <c r="G65" s="3" t="s">
        <v>29</v>
      </c>
      <c r="H65" s="3"/>
      <c r="I65" s="3"/>
      <c r="J65" s="3" t="s">
        <v>2005</v>
      </c>
      <c r="K65" s="3"/>
      <c r="L65" s="3"/>
      <c r="M65" s="20"/>
      <c r="N65" s="20"/>
      <c r="O65" s="3">
        <v>1</v>
      </c>
      <c r="P65" s="3"/>
      <c r="Q65" s="3"/>
      <c r="R65" s="3"/>
      <c r="S65" s="3"/>
    </row>
    <row r="66" spans="1:19" ht="25" customHeight="1" x14ac:dyDescent="0.3">
      <c r="A66" s="3">
        <v>56</v>
      </c>
      <c r="B66" s="3" t="s">
        <v>2003</v>
      </c>
      <c r="C66" s="3" t="s">
        <v>1462</v>
      </c>
      <c r="D66" s="3" t="s">
        <v>1740</v>
      </c>
      <c r="E66" s="3">
        <v>51</v>
      </c>
      <c r="F66" s="3" t="s">
        <v>23</v>
      </c>
      <c r="G66" s="3" t="s">
        <v>24</v>
      </c>
      <c r="H66" s="3"/>
      <c r="I66" s="3"/>
      <c r="J66" s="3" t="s">
        <v>923</v>
      </c>
      <c r="K66" s="3"/>
      <c r="L66" s="3"/>
      <c r="M66" s="20"/>
      <c r="N66" s="20"/>
      <c r="O66" s="3"/>
      <c r="P66" s="3">
        <v>1</v>
      </c>
      <c r="Q66" s="3"/>
      <c r="R66" s="3"/>
      <c r="S66" s="3"/>
    </row>
    <row r="67" spans="1:19" ht="25" customHeight="1" x14ac:dyDescent="0.3">
      <c r="A67" s="3">
        <v>57</v>
      </c>
      <c r="B67" s="3" t="s">
        <v>2219</v>
      </c>
      <c r="C67" s="3" t="s">
        <v>2220</v>
      </c>
      <c r="D67" s="3" t="s">
        <v>228</v>
      </c>
      <c r="E67" s="3">
        <v>45</v>
      </c>
      <c r="F67" s="3" t="s">
        <v>23</v>
      </c>
      <c r="G67" s="3" t="s">
        <v>36</v>
      </c>
      <c r="H67" s="3"/>
      <c r="I67" s="3"/>
      <c r="J67" s="25" t="s">
        <v>2217</v>
      </c>
      <c r="K67" s="3"/>
      <c r="L67" s="3"/>
      <c r="M67" s="20"/>
      <c r="N67" s="20"/>
      <c r="O67" s="3"/>
      <c r="P67" s="3"/>
      <c r="Q67" s="3">
        <v>1</v>
      </c>
      <c r="R67" s="3"/>
      <c r="S67" s="3"/>
    </row>
    <row r="68" spans="1:19" ht="25" customHeight="1" x14ac:dyDescent="0.3">
      <c r="A68" s="3">
        <v>58</v>
      </c>
      <c r="B68" s="3" t="s">
        <v>2224</v>
      </c>
      <c r="C68" s="3" t="s">
        <v>228</v>
      </c>
      <c r="D68" s="3" t="s">
        <v>2225</v>
      </c>
      <c r="E68" s="3">
        <v>37</v>
      </c>
      <c r="F68" s="3" t="s">
        <v>23</v>
      </c>
      <c r="G68" s="3" t="s">
        <v>36</v>
      </c>
      <c r="H68" s="3"/>
      <c r="I68" s="3"/>
      <c r="J68" s="25" t="s">
        <v>1990</v>
      </c>
      <c r="K68" s="3"/>
      <c r="L68" s="3"/>
      <c r="M68" s="20"/>
      <c r="N68" s="34"/>
      <c r="O68" s="3"/>
      <c r="P68" s="3"/>
      <c r="Q68" s="3">
        <v>1</v>
      </c>
      <c r="R68" s="3"/>
      <c r="S68" s="3"/>
    </row>
    <row r="69" spans="1:19" ht="25" customHeight="1" x14ac:dyDescent="0.3">
      <c r="A69" s="3">
        <v>59</v>
      </c>
      <c r="B69" s="36" t="s">
        <v>1165</v>
      </c>
      <c r="C69" s="36" t="s">
        <v>330</v>
      </c>
      <c r="D69" s="36" t="s">
        <v>2186</v>
      </c>
      <c r="E69" s="36">
        <v>41</v>
      </c>
      <c r="F69" s="36" t="s">
        <v>23</v>
      </c>
      <c r="G69" s="3" t="s">
        <v>65</v>
      </c>
      <c r="H69" s="3"/>
      <c r="I69" s="3"/>
      <c r="J69" s="36" t="s">
        <v>2185</v>
      </c>
      <c r="K69" s="3"/>
      <c r="L69" s="3"/>
      <c r="M69" s="5"/>
      <c r="N69" s="5"/>
      <c r="O69" s="3"/>
      <c r="P69" s="3"/>
      <c r="Q69" s="3"/>
      <c r="R69" s="3"/>
      <c r="S69" s="3">
        <v>1</v>
      </c>
    </row>
    <row r="70" spans="1:19" ht="20.5" x14ac:dyDescent="0.3">
      <c r="E70" s="48" t="s">
        <v>55</v>
      </c>
      <c r="F70" s="48"/>
      <c r="G70" s="10">
        <f>O70+P70+Q70+R70+S70</f>
        <v>59</v>
      </c>
      <c r="J70" s="19"/>
      <c r="K70" s="7"/>
      <c r="L70" s="9"/>
      <c r="M70" s="8"/>
      <c r="N70" s="8"/>
      <c r="O70" s="7">
        <f>SUM(O11:O69)</f>
        <v>12</v>
      </c>
      <c r="P70" s="7">
        <f>SUM(P11:P69)</f>
        <v>26</v>
      </c>
      <c r="Q70" s="7">
        <f>SUM(Q11:Q69)</f>
        <v>13</v>
      </c>
      <c r="R70" s="7">
        <f>SUM(R11:R69)</f>
        <v>7</v>
      </c>
      <c r="S70" s="7">
        <f>SUM(S11:S69)</f>
        <v>1</v>
      </c>
    </row>
  </sheetData>
  <mergeCells count="7">
    <mergeCell ref="E70:F70"/>
    <mergeCell ref="A7:I7"/>
    <mergeCell ref="A8:I8"/>
    <mergeCell ref="A9:I9"/>
    <mergeCell ref="A2:I2"/>
    <mergeCell ref="A3:I3"/>
    <mergeCell ref="A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F0CB-B414-44D7-BE17-1EA824E01036}">
  <dimension ref="A2:S79"/>
  <sheetViews>
    <sheetView zoomScale="90" zoomScaleNormal="90" workbookViewId="0">
      <pane xSplit="7" ySplit="8" topLeftCell="H72" activePane="bottomRight" state="frozenSplit"/>
      <selection pane="topRight" activeCell="K1" sqref="K1"/>
      <selection pane="bottomLeft" activeCell="A25" sqref="A25"/>
      <selection pane="bottomRight" activeCell="H75" sqref="H75"/>
    </sheetView>
  </sheetViews>
  <sheetFormatPr baseColWidth="10" defaultColWidth="11.453125" defaultRowHeight="14" x14ac:dyDescent="0.3"/>
  <cols>
    <col min="1" max="1" width="11.453125" style="31"/>
    <col min="2" max="2" width="22.1796875" style="31" customWidth="1"/>
    <col min="3" max="4" width="20.7265625" style="31" customWidth="1"/>
    <col min="5" max="5" width="11.453125" style="31"/>
    <col min="6" max="6" width="12.26953125" style="18" customWidth="1"/>
    <col min="7" max="7" width="18.81640625" style="18" bestFit="1" customWidth="1"/>
    <col min="8" max="8" width="20.453125" style="18" bestFit="1" customWidth="1"/>
    <col min="9" max="9" width="18.1796875" style="18" bestFit="1" customWidth="1"/>
    <col min="10" max="10" width="17.81640625" style="18" customWidth="1"/>
    <col min="11" max="13" width="18.1796875" style="18" hidden="1" customWidth="1"/>
    <col min="14" max="16384" width="11.453125" style="18"/>
  </cols>
  <sheetData>
    <row r="2" spans="1:19" ht="20.5" x14ac:dyDescent="0.45">
      <c r="A2" s="49" t="s">
        <v>9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10</v>
      </c>
      <c r="B3" s="49"/>
      <c r="C3" s="49"/>
      <c r="D3" s="49"/>
      <c r="E3" s="49"/>
      <c r="F3" s="49"/>
      <c r="G3" s="49"/>
      <c r="H3" s="49"/>
      <c r="I3" s="49"/>
    </row>
    <row r="4" spans="1:19" ht="20.5" x14ac:dyDescent="0.45">
      <c r="A4" s="49" t="s">
        <v>11</v>
      </c>
      <c r="B4" s="49"/>
      <c r="C4" s="49"/>
      <c r="D4" s="49"/>
      <c r="E4" s="49"/>
      <c r="F4" s="49"/>
      <c r="G4" s="49"/>
      <c r="H4" s="49"/>
      <c r="I4" s="49"/>
    </row>
    <row r="5" spans="1:19" ht="9" customHeight="1" x14ac:dyDescent="0.45">
      <c r="A5" s="29"/>
      <c r="B5" s="29"/>
      <c r="C5" s="29"/>
      <c r="D5" s="29"/>
      <c r="E5" s="29"/>
      <c r="F5" s="4"/>
      <c r="G5" s="4"/>
      <c r="H5" s="4"/>
      <c r="I5" s="4"/>
      <c r="K5" s="4"/>
      <c r="L5" s="4"/>
      <c r="M5" s="4"/>
    </row>
    <row r="6" spans="1:19" ht="18" x14ac:dyDescent="0.4">
      <c r="A6" s="50" t="s">
        <v>13</v>
      </c>
      <c r="B6" s="50"/>
      <c r="C6" s="50"/>
      <c r="D6" s="50"/>
      <c r="E6" s="50"/>
      <c r="F6" s="50"/>
      <c r="G6" s="50"/>
      <c r="H6" s="50"/>
      <c r="I6" s="50"/>
    </row>
    <row r="7" spans="1:19" ht="18" x14ac:dyDescent="0.4">
      <c r="A7" s="50" t="s">
        <v>18</v>
      </c>
      <c r="B7" s="50"/>
      <c r="C7" s="50"/>
      <c r="D7" s="50"/>
      <c r="E7" s="50"/>
      <c r="F7" s="50"/>
      <c r="G7" s="50"/>
      <c r="H7" s="50"/>
      <c r="I7" s="50"/>
    </row>
    <row r="8" spans="1:19" ht="18" customHeight="1" x14ac:dyDescent="0.35">
      <c r="A8" s="30" t="s">
        <v>6</v>
      </c>
      <c r="B8" s="30" t="s">
        <v>0</v>
      </c>
      <c r="C8" s="30" t="s">
        <v>1</v>
      </c>
      <c r="D8" s="30" t="s">
        <v>2</v>
      </c>
      <c r="E8" s="30" t="s">
        <v>3</v>
      </c>
      <c r="F8" s="2" t="s">
        <v>4</v>
      </c>
      <c r="G8" s="2" t="s">
        <v>5</v>
      </c>
      <c r="H8" s="2" t="s">
        <v>7</v>
      </c>
      <c r="I8" s="2" t="s">
        <v>8</v>
      </c>
      <c r="J8" s="2" t="s">
        <v>316</v>
      </c>
      <c r="K8" s="2" t="s">
        <v>15</v>
      </c>
      <c r="L8" s="2" t="s">
        <v>16</v>
      </c>
      <c r="M8" s="2" t="s">
        <v>17</v>
      </c>
      <c r="O8" s="2" t="s">
        <v>29</v>
      </c>
      <c r="P8" s="2" t="s">
        <v>24</v>
      </c>
      <c r="Q8" s="2" t="s">
        <v>36</v>
      </c>
      <c r="R8" s="2" t="s">
        <v>66</v>
      </c>
      <c r="S8" s="2" t="s">
        <v>65</v>
      </c>
    </row>
    <row r="9" spans="1:19" ht="25" customHeight="1" x14ac:dyDescent="0.3">
      <c r="A9" s="3">
        <v>1</v>
      </c>
      <c r="B9" s="3" t="s">
        <v>38</v>
      </c>
      <c r="C9" s="3" t="s">
        <v>39</v>
      </c>
      <c r="D9" s="3" t="s">
        <v>40</v>
      </c>
      <c r="E9" s="3">
        <v>27</v>
      </c>
      <c r="F9" s="3" t="s">
        <v>23</v>
      </c>
      <c r="G9" s="3" t="s">
        <v>29</v>
      </c>
      <c r="H9" s="3"/>
      <c r="I9" s="3"/>
      <c r="J9" s="21"/>
      <c r="K9" s="3"/>
      <c r="L9" s="3" t="s">
        <v>41</v>
      </c>
      <c r="M9" s="20">
        <v>200</v>
      </c>
      <c r="O9" s="3">
        <v>1</v>
      </c>
      <c r="P9" s="3"/>
      <c r="Q9" s="3"/>
      <c r="R9" s="3"/>
      <c r="S9" s="3"/>
    </row>
    <row r="10" spans="1:19" ht="25" customHeight="1" x14ac:dyDescent="0.3">
      <c r="A10" s="3">
        <v>2</v>
      </c>
      <c r="B10" s="3" t="s">
        <v>42</v>
      </c>
      <c r="C10" s="3" t="s">
        <v>43</v>
      </c>
      <c r="D10" s="3" t="s">
        <v>44</v>
      </c>
      <c r="E10" s="3">
        <v>32</v>
      </c>
      <c r="F10" s="3" t="s">
        <v>23</v>
      </c>
      <c r="G10" s="3" t="s">
        <v>24</v>
      </c>
      <c r="H10" s="3"/>
      <c r="I10" s="3"/>
      <c r="J10" s="21"/>
      <c r="K10" s="3"/>
      <c r="L10" s="3" t="s">
        <v>41</v>
      </c>
      <c r="M10" s="20">
        <v>200</v>
      </c>
      <c r="O10" s="3"/>
      <c r="P10" s="3">
        <v>1</v>
      </c>
      <c r="Q10" s="3"/>
      <c r="R10" s="3"/>
      <c r="S10" s="3"/>
    </row>
    <row r="11" spans="1:19" ht="25" customHeight="1" x14ac:dyDescent="0.3">
      <c r="A11" s="3">
        <v>3</v>
      </c>
      <c r="B11" s="3" t="s">
        <v>49</v>
      </c>
      <c r="C11" s="3" t="s">
        <v>50</v>
      </c>
      <c r="D11" s="3" t="s">
        <v>51</v>
      </c>
      <c r="E11" s="3">
        <v>28</v>
      </c>
      <c r="F11" s="3" t="s">
        <v>23</v>
      </c>
      <c r="G11" s="3" t="s">
        <v>24</v>
      </c>
      <c r="H11" s="3"/>
      <c r="I11" s="3"/>
      <c r="J11" s="21"/>
      <c r="K11" s="3" t="s">
        <v>48</v>
      </c>
      <c r="L11" s="6">
        <v>179687838167</v>
      </c>
      <c r="M11" s="20">
        <v>200</v>
      </c>
      <c r="O11" s="3"/>
      <c r="P11" s="3">
        <v>1</v>
      </c>
      <c r="Q11" s="3"/>
      <c r="R11" s="3"/>
      <c r="S11" s="3"/>
    </row>
    <row r="12" spans="1:19" ht="25" customHeight="1" x14ac:dyDescent="0.3">
      <c r="A12" s="3">
        <v>4</v>
      </c>
      <c r="B12" s="3" t="s">
        <v>202</v>
      </c>
      <c r="C12" s="3" t="s">
        <v>203</v>
      </c>
      <c r="D12" s="3" t="s">
        <v>204</v>
      </c>
      <c r="E12" s="3">
        <v>31</v>
      </c>
      <c r="F12" s="3" t="s">
        <v>23</v>
      </c>
      <c r="G12" s="3" t="s">
        <v>29</v>
      </c>
      <c r="H12" s="3"/>
      <c r="I12" s="3"/>
      <c r="J12" s="25"/>
      <c r="K12" s="3" t="s">
        <v>67</v>
      </c>
      <c r="L12" s="6">
        <v>386523</v>
      </c>
      <c r="M12" s="20">
        <v>200</v>
      </c>
      <c r="O12" s="3">
        <v>1</v>
      </c>
      <c r="P12" s="3"/>
      <c r="Q12" s="3"/>
      <c r="R12" s="3"/>
      <c r="S12" s="3"/>
    </row>
    <row r="13" spans="1:19" ht="25" customHeight="1" x14ac:dyDescent="0.3">
      <c r="A13" s="3">
        <v>5</v>
      </c>
      <c r="B13" s="3" t="s">
        <v>234</v>
      </c>
      <c r="C13" s="3" t="s">
        <v>222</v>
      </c>
      <c r="D13" s="3" t="s">
        <v>235</v>
      </c>
      <c r="E13" s="3">
        <v>31</v>
      </c>
      <c r="F13" s="3" t="s">
        <v>23</v>
      </c>
      <c r="G13" s="3" t="s">
        <v>29</v>
      </c>
      <c r="H13" s="3"/>
      <c r="I13" s="3"/>
      <c r="J13" s="25" t="s">
        <v>364</v>
      </c>
      <c r="K13" s="3" t="s">
        <v>48</v>
      </c>
      <c r="L13" s="6">
        <v>180847106054</v>
      </c>
      <c r="M13" s="20">
        <v>200</v>
      </c>
      <c r="O13" s="3">
        <v>1</v>
      </c>
      <c r="P13" s="3"/>
      <c r="Q13" s="3"/>
      <c r="R13" s="3"/>
      <c r="S13" s="3"/>
    </row>
    <row r="14" spans="1:19" ht="25" customHeight="1" x14ac:dyDescent="0.3">
      <c r="A14" s="3">
        <v>6</v>
      </c>
      <c r="B14" s="3" t="s">
        <v>355</v>
      </c>
      <c r="C14" s="3" t="s">
        <v>332</v>
      </c>
      <c r="D14" s="3" t="s">
        <v>88</v>
      </c>
      <c r="E14" s="3">
        <v>28</v>
      </c>
      <c r="F14" s="3" t="s">
        <v>23</v>
      </c>
      <c r="G14" s="3" t="s">
        <v>29</v>
      </c>
      <c r="H14" s="3"/>
      <c r="I14" s="3"/>
      <c r="J14" s="25"/>
      <c r="K14" s="3" t="s">
        <v>30</v>
      </c>
      <c r="L14" s="3">
        <v>72854302</v>
      </c>
      <c r="M14" s="20">
        <v>2600</v>
      </c>
      <c r="O14" s="3">
        <v>1</v>
      </c>
      <c r="P14" s="3"/>
      <c r="Q14" s="3"/>
      <c r="R14" s="3"/>
      <c r="S14" s="3"/>
    </row>
    <row r="15" spans="1:19" ht="25" customHeight="1" x14ac:dyDescent="0.3">
      <c r="A15" s="3">
        <v>7</v>
      </c>
      <c r="B15" s="3" t="s">
        <v>353</v>
      </c>
      <c r="C15" s="3" t="s">
        <v>354</v>
      </c>
      <c r="D15" s="3" t="s">
        <v>228</v>
      </c>
      <c r="E15" s="3">
        <v>30</v>
      </c>
      <c r="F15" s="3" t="s">
        <v>23</v>
      </c>
      <c r="G15" s="3" t="s">
        <v>29</v>
      </c>
      <c r="H15" s="3"/>
      <c r="I15" s="3"/>
      <c r="J15" s="25"/>
      <c r="K15" s="3" t="s">
        <v>30</v>
      </c>
      <c r="L15" s="3">
        <v>72854302</v>
      </c>
      <c r="M15" s="20">
        <v>2600</v>
      </c>
      <c r="O15" s="3">
        <v>1</v>
      </c>
      <c r="P15" s="3"/>
      <c r="Q15" s="3"/>
      <c r="R15" s="3"/>
      <c r="S15" s="3"/>
    </row>
    <row r="16" spans="1:19" ht="25" customHeight="1" x14ac:dyDescent="0.3">
      <c r="A16" s="3">
        <v>8</v>
      </c>
      <c r="B16" s="3" t="s">
        <v>575</v>
      </c>
      <c r="C16" s="3" t="s">
        <v>332</v>
      </c>
      <c r="D16" s="3" t="s">
        <v>88</v>
      </c>
      <c r="E16" s="3">
        <v>23</v>
      </c>
      <c r="F16" s="3" t="s">
        <v>23</v>
      </c>
      <c r="G16" s="3" t="s">
        <v>29</v>
      </c>
      <c r="H16" s="3"/>
      <c r="I16" s="3"/>
      <c r="J16" s="25"/>
      <c r="K16" s="3" t="s">
        <v>30</v>
      </c>
      <c r="L16" s="3">
        <v>72854302</v>
      </c>
      <c r="M16" s="20">
        <v>2600</v>
      </c>
      <c r="O16" s="3">
        <v>1</v>
      </c>
      <c r="P16" s="3"/>
      <c r="Q16" s="3"/>
      <c r="R16" s="3"/>
      <c r="S16" s="3"/>
    </row>
    <row r="17" spans="1:19" ht="25" customHeight="1" x14ac:dyDescent="0.3">
      <c r="A17" s="3">
        <v>9</v>
      </c>
      <c r="B17" s="3" t="s">
        <v>347</v>
      </c>
      <c r="C17" s="3" t="s">
        <v>348</v>
      </c>
      <c r="D17" s="3" t="s">
        <v>349</v>
      </c>
      <c r="E17" s="3">
        <v>24</v>
      </c>
      <c r="F17" s="3" t="s">
        <v>23</v>
      </c>
      <c r="G17" s="3" t="s">
        <v>29</v>
      </c>
      <c r="H17" s="3"/>
      <c r="I17" s="3"/>
      <c r="J17" s="25"/>
      <c r="K17" s="3" t="s">
        <v>30</v>
      </c>
      <c r="L17" s="3">
        <v>72854302</v>
      </c>
      <c r="M17" s="20">
        <v>2600</v>
      </c>
      <c r="O17" s="3">
        <v>1</v>
      </c>
      <c r="P17" s="3"/>
      <c r="Q17" s="3"/>
      <c r="R17" s="3"/>
      <c r="S17" s="3"/>
    </row>
    <row r="18" spans="1:19" ht="25" customHeight="1" x14ac:dyDescent="0.3">
      <c r="A18" s="3">
        <v>10</v>
      </c>
      <c r="B18" s="3" t="s">
        <v>350</v>
      </c>
      <c r="C18" s="3" t="s">
        <v>351</v>
      </c>
      <c r="D18" s="3" t="s">
        <v>352</v>
      </c>
      <c r="E18" s="3">
        <v>30</v>
      </c>
      <c r="F18" s="3" t="s">
        <v>23</v>
      </c>
      <c r="G18" s="3" t="s">
        <v>29</v>
      </c>
      <c r="H18" s="3"/>
      <c r="I18" s="3"/>
      <c r="J18" s="25"/>
      <c r="K18" s="3" t="s">
        <v>30</v>
      </c>
      <c r="L18" s="3">
        <v>72854302</v>
      </c>
      <c r="M18" s="20">
        <v>2600</v>
      </c>
      <c r="O18" s="3">
        <v>1</v>
      </c>
      <c r="P18" s="3"/>
      <c r="Q18" s="3"/>
      <c r="R18" s="3"/>
      <c r="S18" s="3"/>
    </row>
    <row r="19" spans="1:19" ht="25" customHeight="1" x14ac:dyDescent="0.3">
      <c r="A19" s="3">
        <v>11</v>
      </c>
      <c r="B19" s="3" t="s">
        <v>268</v>
      </c>
      <c r="C19" s="3" t="s">
        <v>269</v>
      </c>
      <c r="D19" s="3" t="s">
        <v>270</v>
      </c>
      <c r="E19" s="3">
        <v>26</v>
      </c>
      <c r="F19" s="3" t="s">
        <v>23</v>
      </c>
      <c r="G19" s="3" t="s">
        <v>29</v>
      </c>
      <c r="H19" s="3"/>
      <c r="I19" s="3"/>
      <c r="J19" s="25"/>
      <c r="K19" s="3" t="s">
        <v>30</v>
      </c>
      <c r="L19" s="3">
        <v>72854302</v>
      </c>
      <c r="M19" s="20">
        <v>2600</v>
      </c>
      <c r="O19" s="3">
        <v>1</v>
      </c>
      <c r="P19" s="3"/>
      <c r="Q19" s="3"/>
      <c r="R19" s="3"/>
      <c r="S19" s="3"/>
    </row>
    <row r="20" spans="1:19" ht="25" customHeight="1" x14ac:dyDescent="0.3">
      <c r="A20" s="3">
        <v>12</v>
      </c>
      <c r="B20" s="3" t="s">
        <v>271</v>
      </c>
      <c r="C20" s="3" t="s">
        <v>263</v>
      </c>
      <c r="D20" s="3" t="s">
        <v>272</v>
      </c>
      <c r="E20" s="3">
        <v>29</v>
      </c>
      <c r="F20" s="3" t="s">
        <v>23</v>
      </c>
      <c r="G20" s="3" t="s">
        <v>24</v>
      </c>
      <c r="H20" s="3"/>
      <c r="I20" s="3"/>
      <c r="J20" s="25"/>
      <c r="K20" s="3" t="s">
        <v>30</v>
      </c>
      <c r="L20" s="6">
        <v>65315723</v>
      </c>
      <c r="M20" s="20">
        <v>600</v>
      </c>
      <c r="O20" s="3"/>
      <c r="P20" s="3">
        <v>1</v>
      </c>
      <c r="Q20" s="3"/>
      <c r="R20" s="38"/>
      <c r="S20" s="3"/>
    </row>
    <row r="21" spans="1:19" ht="25" customHeight="1" x14ac:dyDescent="0.3">
      <c r="A21" s="3">
        <v>13</v>
      </c>
      <c r="B21" s="3" t="s">
        <v>323</v>
      </c>
      <c r="C21" s="3" t="s">
        <v>203</v>
      </c>
      <c r="D21" s="3" t="s">
        <v>324</v>
      </c>
      <c r="E21" s="3">
        <v>28</v>
      </c>
      <c r="F21" s="3" t="s">
        <v>23</v>
      </c>
      <c r="G21" s="3" t="s">
        <v>29</v>
      </c>
      <c r="H21" s="3"/>
      <c r="I21" s="3"/>
      <c r="J21" s="25"/>
      <c r="K21" s="3" t="s">
        <v>83</v>
      </c>
      <c r="L21" s="3" t="s">
        <v>325</v>
      </c>
      <c r="M21" s="20">
        <v>200</v>
      </c>
      <c r="O21" s="3">
        <v>1</v>
      </c>
      <c r="P21" s="3"/>
      <c r="Q21" s="3"/>
      <c r="R21" s="3"/>
      <c r="S21" s="3"/>
    </row>
    <row r="22" spans="1:19" ht="25" customHeight="1" x14ac:dyDescent="0.3">
      <c r="A22" s="3">
        <v>14</v>
      </c>
      <c r="B22" s="3" t="s">
        <v>326</v>
      </c>
      <c r="C22" s="3" t="s">
        <v>111</v>
      </c>
      <c r="D22" s="3" t="s">
        <v>327</v>
      </c>
      <c r="E22" s="3">
        <v>30</v>
      </c>
      <c r="F22" s="3" t="s">
        <v>23</v>
      </c>
      <c r="G22" s="3" t="s">
        <v>29</v>
      </c>
      <c r="H22" s="3"/>
      <c r="I22" s="3"/>
      <c r="J22" s="25"/>
      <c r="K22" s="3" t="s">
        <v>30</v>
      </c>
      <c r="L22" s="3">
        <v>24064893</v>
      </c>
      <c r="M22" s="20">
        <v>600</v>
      </c>
      <c r="O22" s="3">
        <v>1</v>
      </c>
      <c r="P22" s="3"/>
      <c r="Q22" s="3"/>
      <c r="R22" s="3"/>
      <c r="S22" s="3"/>
    </row>
    <row r="23" spans="1:19" ht="25" customHeight="1" x14ac:dyDescent="0.3">
      <c r="A23" s="3">
        <v>15</v>
      </c>
      <c r="B23" s="3" t="s">
        <v>328</v>
      </c>
      <c r="C23" s="3" t="s">
        <v>329</v>
      </c>
      <c r="D23" s="3" t="s">
        <v>330</v>
      </c>
      <c r="E23" s="3">
        <v>27</v>
      </c>
      <c r="F23" s="3" t="s">
        <v>23</v>
      </c>
      <c r="G23" s="3" t="s">
        <v>64</v>
      </c>
      <c r="H23" s="3"/>
      <c r="I23" s="3"/>
      <c r="J23" s="25"/>
      <c r="K23" s="3" t="s">
        <v>30</v>
      </c>
      <c r="L23" s="3">
        <v>24064893</v>
      </c>
      <c r="M23" s="20">
        <v>600</v>
      </c>
      <c r="O23" s="3"/>
      <c r="P23" s="3"/>
      <c r="Q23" s="3"/>
      <c r="R23" s="3">
        <v>1</v>
      </c>
      <c r="S23" s="3"/>
    </row>
    <row r="24" spans="1:19" ht="25" customHeight="1" x14ac:dyDescent="0.3">
      <c r="A24" s="3">
        <v>16</v>
      </c>
      <c r="B24" s="3" t="s">
        <v>331</v>
      </c>
      <c r="C24" s="3" t="s">
        <v>332</v>
      </c>
      <c r="D24" s="3" t="s">
        <v>333</v>
      </c>
      <c r="E24" s="3">
        <v>32</v>
      </c>
      <c r="F24" s="3" t="s">
        <v>23</v>
      </c>
      <c r="G24" s="3" t="s">
        <v>64</v>
      </c>
      <c r="H24" s="3"/>
      <c r="I24" s="3"/>
      <c r="J24" s="25"/>
      <c r="K24" s="3" t="s">
        <v>30</v>
      </c>
      <c r="L24" s="3">
        <v>24064893</v>
      </c>
      <c r="M24" s="20">
        <v>600</v>
      </c>
      <c r="O24" s="3"/>
      <c r="P24" s="3"/>
      <c r="Q24" s="3"/>
      <c r="R24" s="3">
        <v>1</v>
      </c>
      <c r="S24" s="3"/>
    </row>
    <row r="25" spans="1:19" ht="25" customHeight="1" x14ac:dyDescent="0.3">
      <c r="A25" s="3">
        <v>17</v>
      </c>
      <c r="B25" s="3" t="s">
        <v>341</v>
      </c>
      <c r="C25" s="3" t="s">
        <v>342</v>
      </c>
      <c r="D25" s="3" t="s">
        <v>343</v>
      </c>
      <c r="E25" s="3">
        <v>28</v>
      </c>
      <c r="F25" s="3" t="s">
        <v>23</v>
      </c>
      <c r="G25" s="3" t="s">
        <v>29</v>
      </c>
      <c r="H25" s="3"/>
      <c r="I25" s="3"/>
      <c r="J25" s="25"/>
      <c r="K25" s="3" t="s">
        <v>30</v>
      </c>
      <c r="L25" s="3">
        <v>31781810</v>
      </c>
      <c r="M25" s="20">
        <v>200</v>
      </c>
      <c r="O25" s="3">
        <v>1</v>
      </c>
      <c r="P25" s="3"/>
      <c r="Q25" s="3"/>
      <c r="R25" s="3"/>
      <c r="S25" s="3"/>
    </row>
    <row r="26" spans="1:19" ht="25" customHeight="1" x14ac:dyDescent="0.3">
      <c r="A26" s="3">
        <v>18</v>
      </c>
      <c r="B26" s="3" t="s">
        <v>344</v>
      </c>
      <c r="C26" s="3" t="s">
        <v>345</v>
      </c>
      <c r="D26" s="3" t="s">
        <v>228</v>
      </c>
      <c r="E26" s="3">
        <v>26</v>
      </c>
      <c r="F26" s="3" t="s">
        <v>23</v>
      </c>
      <c r="G26" s="3" t="s">
        <v>24</v>
      </c>
      <c r="H26" s="3"/>
      <c r="I26" s="3"/>
      <c r="J26" s="25"/>
      <c r="K26" s="3" t="s">
        <v>48</v>
      </c>
      <c r="L26" s="3">
        <v>179933475923</v>
      </c>
      <c r="M26" s="20">
        <v>200</v>
      </c>
      <c r="O26" s="3"/>
      <c r="P26" s="3">
        <v>1</v>
      </c>
      <c r="Q26" s="3"/>
      <c r="R26" s="3"/>
      <c r="S26" s="3"/>
    </row>
    <row r="27" spans="1:19" ht="25" customHeight="1" x14ac:dyDescent="0.3">
      <c r="A27" s="3">
        <v>19</v>
      </c>
      <c r="B27" s="3" t="s">
        <v>323</v>
      </c>
      <c r="C27" s="3" t="s">
        <v>126</v>
      </c>
      <c r="D27" s="3" t="s">
        <v>346</v>
      </c>
      <c r="E27" s="3">
        <v>27</v>
      </c>
      <c r="F27" s="3" t="s">
        <v>23</v>
      </c>
      <c r="G27" s="3" t="s">
        <v>24</v>
      </c>
      <c r="H27" s="3"/>
      <c r="I27" s="3"/>
      <c r="J27" s="25"/>
      <c r="K27" s="3" t="s">
        <v>30</v>
      </c>
      <c r="L27" s="3">
        <v>81621028</v>
      </c>
      <c r="M27" s="20">
        <v>200</v>
      </c>
      <c r="O27" s="3"/>
      <c r="P27" s="3">
        <v>1</v>
      </c>
      <c r="Q27" s="3"/>
      <c r="R27" s="3"/>
      <c r="S27" s="3"/>
    </row>
    <row r="28" spans="1:19" ht="25" customHeight="1" x14ac:dyDescent="0.3">
      <c r="A28" s="3">
        <v>20</v>
      </c>
      <c r="B28" s="3" t="s">
        <v>389</v>
      </c>
      <c r="C28" s="3" t="s">
        <v>390</v>
      </c>
      <c r="D28" s="3" t="s">
        <v>391</v>
      </c>
      <c r="E28" s="3" t="s">
        <v>392</v>
      </c>
      <c r="F28" s="3" t="s">
        <v>23</v>
      </c>
      <c r="G28" s="3" t="s">
        <v>29</v>
      </c>
      <c r="H28" s="3"/>
      <c r="I28" s="3"/>
      <c r="J28" s="25" t="s">
        <v>393</v>
      </c>
      <c r="K28" s="3" t="s">
        <v>30</v>
      </c>
      <c r="L28" s="3">
        <v>75052270</v>
      </c>
      <c r="M28" s="20">
        <v>200</v>
      </c>
      <c r="O28" s="3">
        <v>1</v>
      </c>
      <c r="P28" s="3"/>
      <c r="Q28" s="3"/>
      <c r="R28" s="3"/>
      <c r="S28" s="3"/>
    </row>
    <row r="29" spans="1:19" ht="25" customHeight="1" x14ac:dyDescent="0.3">
      <c r="A29" s="3">
        <v>21</v>
      </c>
      <c r="B29" s="3" t="s">
        <v>432</v>
      </c>
      <c r="C29" s="3" t="s">
        <v>433</v>
      </c>
      <c r="D29" s="3" t="s">
        <v>86</v>
      </c>
      <c r="E29" s="3">
        <v>26</v>
      </c>
      <c r="F29" s="3" t="s">
        <v>23</v>
      </c>
      <c r="G29" s="3" t="s">
        <v>29</v>
      </c>
      <c r="H29" s="3"/>
      <c r="I29" s="3"/>
      <c r="J29" s="25" t="s">
        <v>313</v>
      </c>
      <c r="K29" s="3" t="s">
        <v>83</v>
      </c>
      <c r="L29" s="3" t="s">
        <v>434</v>
      </c>
      <c r="M29" s="20">
        <v>200</v>
      </c>
      <c r="O29" s="3">
        <v>1</v>
      </c>
      <c r="P29" s="3"/>
      <c r="Q29" s="3"/>
      <c r="R29" s="3"/>
      <c r="S29" s="3"/>
    </row>
    <row r="30" spans="1:19" ht="25" customHeight="1" x14ac:dyDescent="0.3">
      <c r="A30" s="3">
        <v>22</v>
      </c>
      <c r="B30" s="3" t="s">
        <v>460</v>
      </c>
      <c r="C30" s="3" t="s">
        <v>203</v>
      </c>
      <c r="D30" s="3" t="s">
        <v>203</v>
      </c>
      <c r="E30" s="3">
        <v>23</v>
      </c>
      <c r="F30" s="3" t="s">
        <v>23</v>
      </c>
      <c r="G30" s="3" t="s">
        <v>461</v>
      </c>
      <c r="H30" s="3"/>
      <c r="I30" s="3"/>
      <c r="J30" s="25" t="s">
        <v>453</v>
      </c>
      <c r="K30" s="3" t="s">
        <v>30</v>
      </c>
      <c r="L30" s="3">
        <v>34854426</v>
      </c>
      <c r="M30" s="20">
        <v>200</v>
      </c>
      <c r="O30" s="3">
        <v>1</v>
      </c>
      <c r="P30" s="3"/>
      <c r="Q30" s="3"/>
      <c r="R30" s="3"/>
      <c r="S30" s="3"/>
    </row>
    <row r="31" spans="1:19" ht="25" customHeight="1" x14ac:dyDescent="0.3">
      <c r="A31" s="3">
        <v>23</v>
      </c>
      <c r="B31" s="3" t="s">
        <v>490</v>
      </c>
      <c r="C31" s="3"/>
      <c r="D31" s="3"/>
      <c r="E31" s="3">
        <v>33</v>
      </c>
      <c r="F31" s="3" t="s">
        <v>23</v>
      </c>
      <c r="G31" s="3" t="s">
        <v>24</v>
      </c>
      <c r="H31" s="3"/>
      <c r="I31" s="3"/>
      <c r="J31" s="23" t="s">
        <v>491</v>
      </c>
      <c r="K31" s="3"/>
      <c r="L31" s="3"/>
      <c r="M31" s="20"/>
      <c r="O31" s="3"/>
      <c r="P31" s="3">
        <v>1</v>
      </c>
      <c r="Q31" s="3"/>
      <c r="R31" s="3"/>
      <c r="S31" s="3"/>
    </row>
    <row r="32" spans="1:19" ht="25" customHeight="1" x14ac:dyDescent="0.3">
      <c r="A32" s="3">
        <v>24</v>
      </c>
      <c r="B32" s="3" t="s">
        <v>494</v>
      </c>
      <c r="C32" s="3"/>
      <c r="D32" s="3"/>
      <c r="E32" s="3">
        <v>30</v>
      </c>
      <c r="F32" s="3" t="s">
        <v>23</v>
      </c>
      <c r="G32" s="3" t="s">
        <v>29</v>
      </c>
      <c r="H32" s="3"/>
      <c r="I32" s="3"/>
      <c r="J32" s="23" t="s">
        <v>491</v>
      </c>
      <c r="K32" s="3"/>
      <c r="L32" s="3"/>
      <c r="M32" s="20"/>
      <c r="O32" s="3">
        <v>1</v>
      </c>
      <c r="P32" s="3"/>
      <c r="Q32" s="3"/>
      <c r="R32" s="3"/>
      <c r="S32" s="3"/>
    </row>
    <row r="33" spans="1:19" ht="25" customHeight="1" x14ac:dyDescent="0.3">
      <c r="A33" s="3">
        <v>25</v>
      </c>
      <c r="B33" s="31" t="s">
        <v>563</v>
      </c>
      <c r="C33" s="31" t="s">
        <v>411</v>
      </c>
      <c r="D33" s="31" t="s">
        <v>564</v>
      </c>
      <c r="E33" s="31">
        <v>31</v>
      </c>
      <c r="F33" s="3" t="s">
        <v>23</v>
      </c>
      <c r="G33" s="3" t="s">
        <v>24</v>
      </c>
      <c r="H33" s="3"/>
      <c r="I33" s="3"/>
      <c r="J33" s="25" t="s">
        <v>565</v>
      </c>
      <c r="K33" s="3" t="s">
        <v>30</v>
      </c>
      <c r="L33" s="3">
        <v>71927754</v>
      </c>
      <c r="M33" s="20">
        <v>200</v>
      </c>
      <c r="O33" s="3"/>
      <c r="P33" s="3">
        <v>1</v>
      </c>
      <c r="Q33" s="3"/>
      <c r="R33" s="3"/>
      <c r="S33" s="3"/>
    </row>
    <row r="34" spans="1:19" ht="25" customHeight="1" x14ac:dyDescent="0.3">
      <c r="A34" s="3">
        <v>26</v>
      </c>
      <c r="B34" s="3" t="s">
        <v>743</v>
      </c>
      <c r="C34" s="3" t="s">
        <v>109</v>
      </c>
      <c r="D34" s="3" t="s">
        <v>154</v>
      </c>
      <c r="E34" s="3">
        <v>26</v>
      </c>
      <c r="F34" s="3" t="s">
        <v>23</v>
      </c>
      <c r="G34" s="3" t="s">
        <v>29</v>
      </c>
      <c r="I34" s="3"/>
      <c r="J34" s="3" t="s">
        <v>691</v>
      </c>
      <c r="K34" s="3"/>
      <c r="L34" s="3"/>
      <c r="M34" s="20"/>
      <c r="O34" s="3">
        <v>1</v>
      </c>
      <c r="P34" s="3"/>
      <c r="Q34" s="3"/>
      <c r="R34" s="3"/>
      <c r="S34" s="3"/>
    </row>
    <row r="35" spans="1:19" ht="25" customHeight="1" x14ac:dyDescent="0.3">
      <c r="A35" s="3">
        <v>27</v>
      </c>
      <c r="B35" s="3" t="s">
        <v>744</v>
      </c>
      <c r="C35" s="3" t="s">
        <v>377</v>
      </c>
      <c r="D35" s="3" t="s">
        <v>433</v>
      </c>
      <c r="E35" s="3">
        <v>31</v>
      </c>
      <c r="F35" s="3" t="s">
        <v>23</v>
      </c>
      <c r="G35" s="3" t="s">
        <v>24</v>
      </c>
      <c r="I35" s="3"/>
      <c r="J35" s="3" t="s">
        <v>691</v>
      </c>
      <c r="K35" s="3"/>
      <c r="L35" s="3"/>
      <c r="M35" s="20"/>
      <c r="O35" s="3"/>
      <c r="P35" s="3">
        <v>1</v>
      </c>
      <c r="Q35" s="3"/>
      <c r="R35" s="3"/>
      <c r="S35" s="3"/>
    </row>
    <row r="36" spans="1:19" ht="25" customHeight="1" x14ac:dyDescent="0.3">
      <c r="A36" s="3">
        <v>28</v>
      </c>
      <c r="B36" s="3" t="s">
        <v>745</v>
      </c>
      <c r="C36" s="3" t="s">
        <v>166</v>
      </c>
      <c r="D36" s="3" t="s">
        <v>746</v>
      </c>
      <c r="E36" s="3">
        <v>28</v>
      </c>
      <c r="F36" s="3" t="s">
        <v>23</v>
      </c>
      <c r="G36" s="3" t="s">
        <v>24</v>
      </c>
      <c r="I36" s="3"/>
      <c r="J36" s="3" t="s">
        <v>691</v>
      </c>
      <c r="K36" s="3"/>
      <c r="L36" s="3"/>
      <c r="M36" s="20"/>
      <c r="O36" s="3"/>
      <c r="P36" s="3">
        <v>1</v>
      </c>
      <c r="Q36" s="3"/>
      <c r="R36" s="3"/>
      <c r="S36" s="3"/>
    </row>
    <row r="37" spans="1:19" ht="25" customHeight="1" x14ac:dyDescent="0.3">
      <c r="A37" s="3">
        <v>29</v>
      </c>
      <c r="B37" s="3" t="s">
        <v>747</v>
      </c>
      <c r="C37" s="3" t="s">
        <v>137</v>
      </c>
      <c r="D37" s="3" t="s">
        <v>433</v>
      </c>
      <c r="E37" s="3">
        <v>27</v>
      </c>
      <c r="F37" s="3" t="s">
        <v>23</v>
      </c>
      <c r="G37" s="3" t="s">
        <v>29</v>
      </c>
      <c r="I37" s="3"/>
      <c r="J37" s="3" t="s">
        <v>691</v>
      </c>
      <c r="K37" s="3"/>
      <c r="L37" s="3"/>
      <c r="M37" s="20"/>
      <c r="O37" s="3">
        <v>1</v>
      </c>
      <c r="P37" s="3"/>
      <c r="Q37" s="3"/>
      <c r="R37" s="3"/>
      <c r="S37" s="3"/>
    </row>
    <row r="38" spans="1:19" ht="25" customHeight="1" x14ac:dyDescent="0.3">
      <c r="A38" s="3">
        <v>30</v>
      </c>
      <c r="B38" s="3" t="s">
        <v>752</v>
      </c>
      <c r="C38" s="3" t="s">
        <v>753</v>
      </c>
      <c r="D38" s="3" t="s">
        <v>34</v>
      </c>
      <c r="E38" s="3">
        <v>28</v>
      </c>
      <c r="F38" s="3" t="s">
        <v>23</v>
      </c>
      <c r="G38" s="3" t="s">
        <v>29</v>
      </c>
      <c r="I38" s="3"/>
      <c r="J38" s="3" t="s">
        <v>754</v>
      </c>
      <c r="K38" s="3"/>
      <c r="L38" s="3"/>
      <c r="M38" s="20"/>
      <c r="O38" s="3">
        <v>1</v>
      </c>
      <c r="P38" s="3"/>
      <c r="Q38" s="3"/>
      <c r="R38" s="3"/>
      <c r="S38" s="3"/>
    </row>
    <row r="39" spans="1:19" ht="25" customHeight="1" x14ac:dyDescent="0.3">
      <c r="A39" s="3">
        <v>31</v>
      </c>
      <c r="B39" s="3" t="s">
        <v>787</v>
      </c>
      <c r="C39" s="3" t="s">
        <v>788</v>
      </c>
      <c r="D39" s="3" t="s">
        <v>789</v>
      </c>
      <c r="E39" s="3">
        <v>30</v>
      </c>
      <c r="F39" s="3" t="s">
        <v>23</v>
      </c>
      <c r="G39" s="3" t="s">
        <v>29</v>
      </c>
      <c r="H39" s="3"/>
      <c r="I39" s="3"/>
      <c r="J39" s="3" t="s">
        <v>790</v>
      </c>
      <c r="K39" s="3"/>
      <c r="L39" s="3"/>
      <c r="M39" s="20"/>
      <c r="O39" s="3">
        <v>1</v>
      </c>
      <c r="P39" s="3"/>
      <c r="Q39" s="3"/>
      <c r="R39" s="3"/>
      <c r="S39" s="3"/>
    </row>
    <row r="40" spans="1:19" ht="25" customHeight="1" x14ac:dyDescent="0.3">
      <c r="A40" s="3">
        <v>32</v>
      </c>
      <c r="B40" s="3" t="s">
        <v>806</v>
      </c>
      <c r="C40" s="3" t="s">
        <v>964</v>
      </c>
      <c r="D40" s="3" t="s">
        <v>330</v>
      </c>
      <c r="E40" s="3">
        <v>25</v>
      </c>
      <c r="F40" s="3" t="s">
        <v>23</v>
      </c>
      <c r="G40" s="3" t="s">
        <v>29</v>
      </c>
      <c r="H40" s="3"/>
      <c r="I40" s="3"/>
      <c r="J40" s="3" t="s">
        <v>800</v>
      </c>
      <c r="K40" s="3"/>
      <c r="L40" s="3"/>
      <c r="M40" s="20"/>
      <c r="O40" s="3">
        <v>1</v>
      </c>
      <c r="P40" s="3"/>
      <c r="Q40" s="3"/>
      <c r="R40" s="3"/>
      <c r="S40" s="3"/>
    </row>
    <row r="41" spans="1:19" ht="25" customHeight="1" x14ac:dyDescent="0.3">
      <c r="A41" s="3">
        <v>33</v>
      </c>
      <c r="B41" s="3" t="s">
        <v>1002</v>
      </c>
      <c r="C41" s="3" t="s">
        <v>214</v>
      </c>
      <c r="D41" s="3" t="s">
        <v>760</v>
      </c>
      <c r="E41" s="3">
        <v>30</v>
      </c>
      <c r="F41" s="3" t="s">
        <v>23</v>
      </c>
      <c r="G41" s="3" t="s">
        <v>29</v>
      </c>
      <c r="H41" s="3"/>
      <c r="I41" s="3"/>
      <c r="J41" s="3" t="s">
        <v>1003</v>
      </c>
      <c r="K41" s="3"/>
      <c r="L41" s="3"/>
      <c r="M41" s="20"/>
      <c r="O41" s="3"/>
      <c r="P41" s="3">
        <v>1</v>
      </c>
      <c r="Q41" s="3"/>
      <c r="R41" s="3"/>
      <c r="S41" s="3"/>
    </row>
    <row r="42" spans="1:19" ht="25" customHeight="1" x14ac:dyDescent="0.3">
      <c r="A42" s="3">
        <v>34</v>
      </c>
      <c r="B42" s="3" t="s">
        <v>1036</v>
      </c>
      <c r="C42" s="3" t="s">
        <v>734</v>
      </c>
      <c r="D42" s="3" t="s">
        <v>109</v>
      </c>
      <c r="E42" s="3">
        <v>26</v>
      </c>
      <c r="F42" s="3" t="s">
        <v>23</v>
      </c>
      <c r="G42" s="3" t="s">
        <v>24</v>
      </c>
      <c r="H42" s="3"/>
      <c r="I42" s="3"/>
      <c r="J42" s="25" t="s">
        <v>565</v>
      </c>
      <c r="K42" s="3"/>
      <c r="L42" s="3"/>
      <c r="M42" s="20"/>
      <c r="O42" s="3">
        <v>1</v>
      </c>
      <c r="P42" s="3"/>
      <c r="Q42" s="3"/>
      <c r="R42" s="3"/>
      <c r="S42" s="3"/>
    </row>
    <row r="43" spans="1:19" ht="25" customHeight="1" x14ac:dyDescent="0.3">
      <c r="A43" s="3">
        <v>35</v>
      </c>
      <c r="B43" s="3" t="s">
        <v>1041</v>
      </c>
      <c r="C43" s="3" t="s">
        <v>1042</v>
      </c>
      <c r="D43" s="3" t="s">
        <v>1043</v>
      </c>
      <c r="E43" s="3">
        <v>28</v>
      </c>
      <c r="F43" s="3" t="s">
        <v>23</v>
      </c>
      <c r="G43" s="3" t="s">
        <v>29</v>
      </c>
      <c r="H43" s="3"/>
      <c r="I43" s="3"/>
      <c r="J43" s="25" t="s">
        <v>565</v>
      </c>
      <c r="K43" s="3"/>
      <c r="L43" s="3"/>
      <c r="M43" s="20"/>
      <c r="O43" s="3">
        <v>1</v>
      </c>
      <c r="P43" s="3"/>
      <c r="Q43" s="3"/>
      <c r="R43" s="3"/>
      <c r="S43" s="3"/>
    </row>
    <row r="44" spans="1:19" ht="25" customHeight="1" x14ac:dyDescent="0.3">
      <c r="A44" s="3">
        <v>36</v>
      </c>
      <c r="B44" s="3" t="s">
        <v>866</v>
      </c>
      <c r="C44" s="3" t="s">
        <v>186</v>
      </c>
      <c r="D44" s="3" t="s">
        <v>867</v>
      </c>
      <c r="E44" s="3">
        <v>35</v>
      </c>
      <c r="F44" s="3" t="s">
        <v>23</v>
      </c>
      <c r="G44" s="3" t="s">
        <v>24</v>
      </c>
      <c r="H44" s="3"/>
      <c r="I44" s="3"/>
      <c r="J44" s="25" t="s">
        <v>565</v>
      </c>
      <c r="K44" s="3"/>
      <c r="L44" s="3"/>
      <c r="M44" s="20"/>
      <c r="O44" s="3"/>
      <c r="P44" s="3">
        <v>1</v>
      </c>
      <c r="Q44" s="3"/>
      <c r="R44" s="3"/>
      <c r="S44" s="3"/>
    </row>
    <row r="45" spans="1:19" ht="25" customHeight="1" x14ac:dyDescent="0.3">
      <c r="A45" s="3">
        <v>37</v>
      </c>
      <c r="B45" s="3" t="s">
        <v>868</v>
      </c>
      <c r="C45" s="3" t="s">
        <v>203</v>
      </c>
      <c r="D45" s="3" t="s">
        <v>203</v>
      </c>
      <c r="E45" s="3">
        <v>31</v>
      </c>
      <c r="F45" s="3" t="s">
        <v>23</v>
      </c>
      <c r="G45" s="3" t="s">
        <v>24</v>
      </c>
      <c r="H45" s="3"/>
      <c r="I45" s="3"/>
      <c r="J45" s="25" t="s">
        <v>631</v>
      </c>
      <c r="K45" s="3"/>
      <c r="L45" s="3"/>
      <c r="M45" s="20"/>
      <c r="O45" s="3"/>
      <c r="P45" s="3">
        <v>1</v>
      </c>
      <c r="Q45" s="3"/>
      <c r="R45" s="3"/>
      <c r="S45" s="3"/>
    </row>
    <row r="46" spans="1:19" ht="25" customHeight="1" x14ac:dyDescent="0.3">
      <c r="A46" s="3">
        <v>38</v>
      </c>
      <c r="B46" s="3" t="s">
        <v>878</v>
      </c>
      <c r="C46" s="3" t="s">
        <v>583</v>
      </c>
      <c r="D46" s="3" t="s">
        <v>111</v>
      </c>
      <c r="E46" s="3">
        <v>26</v>
      </c>
      <c r="F46" s="3" t="s">
        <v>23</v>
      </c>
      <c r="G46" s="3" t="s">
        <v>24</v>
      </c>
      <c r="H46" s="3"/>
      <c r="I46" s="3"/>
      <c r="J46" s="25" t="s">
        <v>451</v>
      </c>
      <c r="K46" s="3"/>
      <c r="L46" s="3"/>
      <c r="M46" s="20"/>
      <c r="O46" s="3"/>
      <c r="P46" s="3">
        <v>1</v>
      </c>
      <c r="Q46" s="3"/>
      <c r="R46" s="3"/>
      <c r="S46" s="3"/>
    </row>
    <row r="47" spans="1:19" ht="25" customHeight="1" x14ac:dyDescent="0.3">
      <c r="A47" s="3">
        <v>39</v>
      </c>
      <c r="B47" s="3" t="s">
        <v>893</v>
      </c>
      <c r="C47" s="3" t="s">
        <v>894</v>
      </c>
      <c r="D47" s="3" t="s">
        <v>201</v>
      </c>
      <c r="E47" s="3">
        <v>35</v>
      </c>
      <c r="F47" s="3" t="s">
        <v>23</v>
      </c>
      <c r="G47" s="3" t="s">
        <v>24</v>
      </c>
      <c r="H47" s="3"/>
      <c r="I47" s="3"/>
      <c r="J47" s="25" t="s">
        <v>895</v>
      </c>
      <c r="K47" s="3"/>
      <c r="L47" s="3"/>
      <c r="M47" s="20"/>
      <c r="O47" s="3"/>
      <c r="P47" s="3">
        <v>1</v>
      </c>
      <c r="Q47" s="3"/>
      <c r="R47" s="3"/>
      <c r="S47" s="3"/>
    </row>
    <row r="48" spans="1:19" ht="25" customHeight="1" x14ac:dyDescent="0.3">
      <c r="A48" s="3">
        <v>40</v>
      </c>
      <c r="B48" s="3" t="s">
        <v>1058</v>
      </c>
      <c r="C48" s="3" t="s">
        <v>1059</v>
      </c>
      <c r="D48" s="3" t="s">
        <v>1060</v>
      </c>
      <c r="E48" s="3">
        <v>33</v>
      </c>
      <c r="F48" s="3" t="s">
        <v>23</v>
      </c>
      <c r="G48" s="3" t="s">
        <v>29</v>
      </c>
      <c r="H48" s="3"/>
      <c r="I48" s="3"/>
      <c r="J48" s="25" t="s">
        <v>565</v>
      </c>
      <c r="K48" s="3"/>
      <c r="L48" s="3"/>
      <c r="M48" s="20"/>
      <c r="O48" s="3">
        <v>1</v>
      </c>
      <c r="P48" s="3"/>
      <c r="Q48" s="3"/>
      <c r="R48" s="3"/>
      <c r="S48" s="3"/>
    </row>
    <row r="49" spans="1:19" ht="25" customHeight="1" x14ac:dyDescent="0.3">
      <c r="A49" s="3">
        <v>41</v>
      </c>
      <c r="B49" s="3" t="s">
        <v>1106</v>
      </c>
      <c r="C49" s="3" t="s">
        <v>1107</v>
      </c>
      <c r="D49" s="3" t="s">
        <v>27</v>
      </c>
      <c r="E49" s="3">
        <v>33</v>
      </c>
      <c r="F49" s="3" t="s">
        <v>23</v>
      </c>
      <c r="G49" s="3" t="s">
        <v>29</v>
      </c>
      <c r="H49" s="3"/>
      <c r="I49" s="3"/>
      <c r="J49" s="25" t="s">
        <v>565</v>
      </c>
      <c r="K49" s="3"/>
      <c r="L49" s="3"/>
      <c r="M49" s="20"/>
      <c r="O49" s="3">
        <v>1</v>
      </c>
      <c r="P49" s="3"/>
      <c r="Q49" s="3"/>
      <c r="R49" s="3"/>
      <c r="S49" s="3"/>
    </row>
    <row r="50" spans="1:19" ht="25" customHeight="1" x14ac:dyDescent="0.3">
      <c r="A50" s="3">
        <v>42</v>
      </c>
      <c r="B50" s="3" t="s">
        <v>1123</v>
      </c>
      <c r="C50" s="3" t="s">
        <v>1124</v>
      </c>
      <c r="D50" s="3" t="s">
        <v>96</v>
      </c>
      <c r="E50" s="3">
        <v>28</v>
      </c>
      <c r="F50" s="3" t="s">
        <v>23</v>
      </c>
      <c r="G50" s="3" t="s">
        <v>36</v>
      </c>
      <c r="H50" s="3"/>
      <c r="I50" s="3"/>
      <c r="J50" s="25" t="s">
        <v>1125</v>
      </c>
      <c r="K50" s="3"/>
      <c r="L50" s="3"/>
      <c r="M50" s="20"/>
      <c r="O50" s="3"/>
      <c r="P50" s="3"/>
      <c r="Q50" s="3">
        <v>1</v>
      </c>
      <c r="R50" s="3"/>
      <c r="S50" s="3"/>
    </row>
    <row r="51" spans="1:19" ht="25" customHeight="1" x14ac:dyDescent="0.3">
      <c r="A51" s="3">
        <v>43</v>
      </c>
      <c r="B51" s="3" t="s">
        <v>1132</v>
      </c>
      <c r="C51" s="3" t="s">
        <v>1133</v>
      </c>
      <c r="D51" s="3" t="s">
        <v>189</v>
      </c>
      <c r="E51" s="3">
        <v>30</v>
      </c>
      <c r="F51" s="3" t="s">
        <v>23</v>
      </c>
      <c r="G51" s="3" t="s">
        <v>24</v>
      </c>
      <c r="H51" s="3"/>
      <c r="I51" s="3"/>
      <c r="J51" s="25" t="s">
        <v>1134</v>
      </c>
      <c r="K51" s="3"/>
      <c r="L51" s="3"/>
      <c r="M51" s="20"/>
      <c r="O51" s="3"/>
      <c r="P51" s="3">
        <v>1</v>
      </c>
      <c r="Q51" s="3"/>
      <c r="R51" s="3"/>
      <c r="S51" s="3"/>
    </row>
    <row r="52" spans="1:19" ht="25" customHeight="1" x14ac:dyDescent="0.3">
      <c r="A52" s="3">
        <v>44</v>
      </c>
      <c r="B52" s="3" t="s">
        <v>1259</v>
      </c>
      <c r="C52" s="3" t="s">
        <v>1260</v>
      </c>
      <c r="D52" s="3" t="s">
        <v>1261</v>
      </c>
      <c r="E52" s="3">
        <v>20</v>
      </c>
      <c r="F52" s="3" t="s">
        <v>23</v>
      </c>
      <c r="G52" s="3" t="s">
        <v>1181</v>
      </c>
      <c r="H52" s="3"/>
      <c r="I52" s="3"/>
      <c r="J52" s="25" t="s">
        <v>1196</v>
      </c>
      <c r="K52" s="3"/>
      <c r="L52" s="3"/>
      <c r="M52" s="20"/>
      <c r="O52" s="3">
        <v>1</v>
      </c>
      <c r="P52" s="3"/>
      <c r="Q52" s="3"/>
      <c r="R52" s="3"/>
      <c r="S52" s="3"/>
    </row>
    <row r="53" spans="1:19" ht="25" customHeight="1" x14ac:dyDescent="0.3">
      <c r="A53" s="3">
        <v>45</v>
      </c>
      <c r="B53" s="3" t="s">
        <v>1262</v>
      </c>
      <c r="C53" s="3" t="s">
        <v>186</v>
      </c>
      <c r="D53" s="3" t="s">
        <v>111</v>
      </c>
      <c r="E53" s="3">
        <v>26</v>
      </c>
      <c r="F53" s="3" t="s">
        <v>23</v>
      </c>
      <c r="G53" s="3" t="s">
        <v>29</v>
      </c>
      <c r="H53" s="3"/>
      <c r="I53" s="3"/>
      <c r="J53" s="25" t="s">
        <v>1196</v>
      </c>
      <c r="K53" s="3"/>
      <c r="L53" s="3"/>
      <c r="M53" s="20"/>
      <c r="O53" s="3">
        <v>1</v>
      </c>
      <c r="P53" s="3"/>
      <c r="Q53" s="3"/>
      <c r="R53" s="3"/>
      <c r="S53" s="3"/>
    </row>
    <row r="54" spans="1:19" ht="25" customHeight="1" x14ac:dyDescent="0.3">
      <c r="A54" s="3">
        <v>46</v>
      </c>
      <c r="B54" s="3" t="s">
        <v>1263</v>
      </c>
      <c r="C54" s="3" t="s">
        <v>1264</v>
      </c>
      <c r="D54" s="3" t="s">
        <v>722</v>
      </c>
      <c r="E54" s="3">
        <v>30</v>
      </c>
      <c r="F54" s="3" t="s">
        <v>23</v>
      </c>
      <c r="G54" s="3" t="s">
        <v>24</v>
      </c>
      <c r="H54" s="3"/>
      <c r="I54" s="3"/>
      <c r="J54" s="25" t="s">
        <v>1196</v>
      </c>
      <c r="K54" s="3"/>
      <c r="L54" s="3"/>
      <c r="M54" s="20"/>
      <c r="O54" s="3"/>
      <c r="P54" s="3">
        <v>1</v>
      </c>
      <c r="Q54" s="3"/>
      <c r="R54" s="3"/>
      <c r="S54" s="3"/>
    </row>
    <row r="55" spans="1:19" ht="25" customHeight="1" x14ac:dyDescent="0.3">
      <c r="A55" s="3">
        <v>47</v>
      </c>
      <c r="B55" s="3" t="s">
        <v>1265</v>
      </c>
      <c r="C55" s="3" t="s">
        <v>1266</v>
      </c>
      <c r="D55" s="3" t="s">
        <v>915</v>
      </c>
      <c r="E55" s="3">
        <v>28</v>
      </c>
      <c r="F55" s="3" t="s">
        <v>23</v>
      </c>
      <c r="G55" s="3" t="s">
        <v>29</v>
      </c>
      <c r="H55" s="3"/>
      <c r="I55" s="3"/>
      <c r="J55" s="25" t="s">
        <v>1196</v>
      </c>
      <c r="K55" s="3"/>
      <c r="L55" s="3"/>
      <c r="M55" s="20"/>
      <c r="O55" s="3">
        <v>1</v>
      </c>
      <c r="P55" s="3"/>
      <c r="Q55" s="3"/>
      <c r="R55" s="3"/>
      <c r="S55" s="3"/>
    </row>
    <row r="56" spans="1:19" ht="25" customHeight="1" x14ac:dyDescent="0.3">
      <c r="A56" s="3">
        <v>48</v>
      </c>
      <c r="B56" s="3" t="s">
        <v>1267</v>
      </c>
      <c r="C56" s="3" t="s">
        <v>574</v>
      </c>
      <c r="D56" s="3" t="s">
        <v>1268</v>
      </c>
      <c r="E56" s="3">
        <v>24</v>
      </c>
      <c r="F56" s="3" t="s">
        <v>23</v>
      </c>
      <c r="G56" s="3" t="s">
        <v>24</v>
      </c>
      <c r="H56" s="3"/>
      <c r="I56" s="3"/>
      <c r="J56" s="25" t="s">
        <v>1196</v>
      </c>
      <c r="K56" s="3"/>
      <c r="L56" s="3"/>
      <c r="M56" s="20"/>
      <c r="O56" s="3"/>
      <c r="P56" s="3">
        <v>1</v>
      </c>
      <c r="Q56" s="3"/>
      <c r="R56" s="3"/>
      <c r="S56" s="3"/>
    </row>
    <row r="57" spans="1:19" ht="25" customHeight="1" x14ac:dyDescent="0.3">
      <c r="A57" s="3">
        <v>49</v>
      </c>
      <c r="B57" s="3" t="s">
        <v>1269</v>
      </c>
      <c r="C57" s="3" t="s">
        <v>736</v>
      </c>
      <c r="D57" s="3" t="s">
        <v>119</v>
      </c>
      <c r="E57" s="3">
        <v>29</v>
      </c>
      <c r="F57" s="3" t="s">
        <v>23</v>
      </c>
      <c r="G57" s="3" t="s">
        <v>29</v>
      </c>
      <c r="H57" s="3"/>
      <c r="I57" s="3"/>
      <c r="J57" s="25" t="s">
        <v>1196</v>
      </c>
      <c r="K57" s="3"/>
      <c r="L57" s="3"/>
      <c r="M57" s="20"/>
      <c r="O57" s="3">
        <v>1</v>
      </c>
      <c r="P57" s="3"/>
      <c r="Q57" s="3"/>
      <c r="R57" s="3"/>
      <c r="S57" s="3"/>
    </row>
    <row r="58" spans="1:19" ht="25" customHeight="1" x14ac:dyDescent="0.3">
      <c r="A58" s="3">
        <v>50</v>
      </c>
      <c r="B58" s="3" t="s">
        <v>1270</v>
      </c>
      <c r="C58" s="3" t="s">
        <v>734</v>
      </c>
      <c r="D58" s="3" t="s">
        <v>137</v>
      </c>
      <c r="E58" s="3">
        <v>29</v>
      </c>
      <c r="F58" s="3" t="s">
        <v>23</v>
      </c>
      <c r="G58" s="3" t="s">
        <v>24</v>
      </c>
      <c r="H58" s="3"/>
      <c r="I58" s="3"/>
      <c r="J58" s="25" t="s">
        <v>1196</v>
      </c>
      <c r="K58" s="3"/>
      <c r="L58" s="3"/>
      <c r="M58" s="20"/>
      <c r="O58" s="3"/>
      <c r="P58" s="3">
        <v>1</v>
      </c>
      <c r="Q58" s="3"/>
      <c r="R58" s="3"/>
      <c r="S58" s="3"/>
    </row>
    <row r="59" spans="1:19" ht="25" customHeight="1" x14ac:dyDescent="0.3">
      <c r="A59" s="3">
        <v>51</v>
      </c>
      <c r="B59" s="3" t="s">
        <v>1371</v>
      </c>
      <c r="C59" s="3" t="s">
        <v>111</v>
      </c>
      <c r="D59" s="3" t="s">
        <v>203</v>
      </c>
      <c r="E59" s="3">
        <v>27</v>
      </c>
      <c r="F59" s="3" t="s">
        <v>23</v>
      </c>
      <c r="G59" s="3" t="s">
        <v>24</v>
      </c>
      <c r="H59" s="3"/>
      <c r="I59" s="3"/>
      <c r="J59" s="3" t="s">
        <v>1376</v>
      </c>
      <c r="K59" s="3"/>
      <c r="L59" s="3"/>
      <c r="M59" s="20"/>
      <c r="O59" s="3"/>
      <c r="P59" s="3">
        <v>1</v>
      </c>
      <c r="Q59" s="3"/>
      <c r="R59" s="3"/>
      <c r="S59" s="3"/>
    </row>
    <row r="60" spans="1:19" ht="25" customHeight="1" x14ac:dyDescent="0.3">
      <c r="A60" s="3">
        <v>52</v>
      </c>
      <c r="B60" s="3" t="s">
        <v>1372</v>
      </c>
      <c r="C60" s="3" t="s">
        <v>227</v>
      </c>
      <c r="D60" s="3" t="s">
        <v>1373</v>
      </c>
      <c r="E60" s="3">
        <v>24</v>
      </c>
      <c r="F60" s="3" t="s">
        <v>23</v>
      </c>
      <c r="G60" s="3" t="s">
        <v>29</v>
      </c>
      <c r="H60" s="3"/>
      <c r="I60" s="3"/>
      <c r="J60" s="3" t="s">
        <v>1376</v>
      </c>
      <c r="K60" s="3"/>
      <c r="L60" s="3"/>
      <c r="M60" s="20"/>
      <c r="O60" s="3">
        <v>1</v>
      </c>
      <c r="P60" s="3"/>
      <c r="Q60" s="3"/>
      <c r="R60" s="3"/>
      <c r="S60" s="3"/>
    </row>
    <row r="61" spans="1:19" ht="25" customHeight="1" x14ac:dyDescent="0.3">
      <c r="A61" s="3">
        <v>53</v>
      </c>
      <c r="B61" s="3" t="s">
        <v>1374</v>
      </c>
      <c r="C61" s="3" t="s">
        <v>1375</v>
      </c>
      <c r="D61" s="3" t="s">
        <v>327</v>
      </c>
      <c r="E61" s="3">
        <v>25</v>
      </c>
      <c r="F61" s="3" t="s">
        <v>23</v>
      </c>
      <c r="G61" s="3" t="s">
        <v>29</v>
      </c>
      <c r="H61" s="3"/>
      <c r="I61" s="3"/>
      <c r="J61" s="3" t="s">
        <v>1376</v>
      </c>
      <c r="K61" s="3"/>
      <c r="L61" s="3"/>
      <c r="M61" s="20"/>
      <c r="O61" s="3">
        <v>1</v>
      </c>
      <c r="P61" s="3"/>
      <c r="Q61" s="3"/>
      <c r="R61" s="3"/>
      <c r="S61" s="3"/>
    </row>
    <row r="62" spans="1:19" ht="25" customHeight="1" x14ac:dyDescent="0.3">
      <c r="A62" s="3">
        <v>54</v>
      </c>
      <c r="B62" s="3" t="s">
        <v>1513</v>
      </c>
      <c r="C62" s="3" t="s">
        <v>1514</v>
      </c>
      <c r="D62" s="3" t="s">
        <v>1515</v>
      </c>
      <c r="E62" s="3">
        <v>32</v>
      </c>
      <c r="F62" s="3" t="s">
        <v>23</v>
      </c>
      <c r="G62" s="3" t="s">
        <v>24</v>
      </c>
      <c r="H62" s="3"/>
      <c r="I62" s="3"/>
      <c r="J62" s="25" t="s">
        <v>1516</v>
      </c>
      <c r="K62" s="3"/>
      <c r="L62" s="3"/>
      <c r="M62" s="20"/>
      <c r="O62" s="3"/>
      <c r="P62" s="3">
        <v>1</v>
      </c>
      <c r="Q62" s="3"/>
      <c r="R62" s="3"/>
      <c r="S62" s="3"/>
    </row>
    <row r="63" spans="1:19" ht="25" customHeight="1" x14ac:dyDescent="0.3">
      <c r="A63" s="3">
        <v>55</v>
      </c>
      <c r="B63" s="3" t="s">
        <v>1554</v>
      </c>
      <c r="C63" s="3" t="s">
        <v>1555</v>
      </c>
      <c r="D63" s="3" t="s">
        <v>146</v>
      </c>
      <c r="E63" s="3">
        <v>28</v>
      </c>
      <c r="F63" s="3" t="s">
        <v>23</v>
      </c>
      <c r="G63" s="3" t="s">
        <v>24</v>
      </c>
      <c r="H63" s="3"/>
      <c r="I63" s="3"/>
      <c r="J63" s="25" t="s">
        <v>1556</v>
      </c>
      <c r="K63" s="3"/>
      <c r="L63" s="3"/>
      <c r="M63" s="20"/>
      <c r="O63" s="3"/>
      <c r="P63" s="3">
        <v>1</v>
      </c>
      <c r="Q63" s="3"/>
      <c r="R63" s="3"/>
      <c r="S63" s="3"/>
    </row>
    <row r="64" spans="1:19" ht="25" customHeight="1" x14ac:dyDescent="0.3">
      <c r="A64" s="3">
        <v>56</v>
      </c>
      <c r="B64" s="3" t="s">
        <v>1593</v>
      </c>
      <c r="C64" s="3" t="s">
        <v>1075</v>
      </c>
      <c r="D64" s="3" t="s">
        <v>1594</v>
      </c>
      <c r="E64" s="3">
        <v>28</v>
      </c>
      <c r="F64" s="3" t="s">
        <v>23</v>
      </c>
      <c r="G64" s="3" t="s">
        <v>24</v>
      </c>
      <c r="H64" s="3"/>
      <c r="I64" s="3"/>
      <c r="J64" s="25" t="s">
        <v>1595</v>
      </c>
      <c r="K64" s="3"/>
      <c r="L64" s="3"/>
      <c r="M64" s="20"/>
      <c r="O64" s="3"/>
      <c r="P64" s="3">
        <v>1</v>
      </c>
      <c r="Q64" s="3"/>
      <c r="R64" s="3"/>
      <c r="S64" s="3"/>
    </row>
    <row r="65" spans="1:19" ht="25" customHeight="1" x14ac:dyDescent="0.3">
      <c r="A65" s="3">
        <v>57</v>
      </c>
      <c r="B65" s="3" t="s">
        <v>1656</v>
      </c>
      <c r="C65" s="3" t="s">
        <v>1657</v>
      </c>
      <c r="D65" s="3" t="s">
        <v>1658</v>
      </c>
      <c r="E65" s="3">
        <v>30</v>
      </c>
      <c r="F65" s="3" t="s">
        <v>23</v>
      </c>
      <c r="G65" s="3" t="s">
        <v>29</v>
      </c>
      <c r="H65" s="3"/>
      <c r="I65" s="3"/>
      <c r="J65" s="25" t="s">
        <v>565</v>
      </c>
      <c r="K65" s="3"/>
      <c r="L65" s="3"/>
      <c r="M65" s="20"/>
      <c r="O65" s="3">
        <v>1</v>
      </c>
      <c r="P65" s="3"/>
      <c r="Q65" s="3"/>
      <c r="R65" s="3"/>
      <c r="S65" s="3"/>
    </row>
    <row r="66" spans="1:19" ht="25" customHeight="1" x14ac:dyDescent="0.3">
      <c r="A66" s="3">
        <v>58</v>
      </c>
      <c r="B66" s="3" t="s">
        <v>1776</v>
      </c>
      <c r="C66" s="3" t="s">
        <v>1620</v>
      </c>
      <c r="D66" s="3" t="s">
        <v>1184</v>
      </c>
      <c r="E66" s="3">
        <v>29</v>
      </c>
      <c r="F66" s="3" t="s">
        <v>23</v>
      </c>
      <c r="G66" s="3" t="s">
        <v>29</v>
      </c>
      <c r="H66" s="3"/>
      <c r="I66" s="3"/>
      <c r="J66" s="25" t="s">
        <v>1777</v>
      </c>
      <c r="K66" s="3"/>
      <c r="L66" s="3"/>
      <c r="M66" s="20"/>
      <c r="O66" s="3">
        <v>1</v>
      </c>
      <c r="P66" s="3"/>
      <c r="Q66" s="3"/>
      <c r="R66" s="3"/>
      <c r="S66" s="3"/>
    </row>
    <row r="67" spans="1:19" ht="25" customHeight="1" x14ac:dyDescent="0.3">
      <c r="A67" s="3">
        <v>59</v>
      </c>
      <c r="B67" s="3" t="s">
        <v>1778</v>
      </c>
      <c r="C67" s="3" t="s">
        <v>46</v>
      </c>
      <c r="D67" s="3" t="s">
        <v>1779</v>
      </c>
      <c r="E67" s="3">
        <v>26</v>
      </c>
      <c r="F67" s="3" t="s">
        <v>23</v>
      </c>
      <c r="G67" s="3" t="s">
        <v>29</v>
      </c>
      <c r="H67" s="3"/>
      <c r="I67" s="3"/>
      <c r="J67" s="25" t="s">
        <v>1780</v>
      </c>
      <c r="K67" s="3"/>
      <c r="L67" s="3"/>
      <c r="M67" s="20"/>
      <c r="O67" s="3">
        <v>1</v>
      </c>
      <c r="P67" s="3"/>
      <c r="Q67" s="3"/>
      <c r="R67" s="3"/>
      <c r="S67" s="3"/>
    </row>
    <row r="68" spans="1:19" ht="25" customHeight="1" x14ac:dyDescent="0.3">
      <c r="A68" s="3">
        <v>60</v>
      </c>
      <c r="B68" s="3" t="s">
        <v>1794</v>
      </c>
      <c r="C68" s="3" t="s">
        <v>1795</v>
      </c>
      <c r="D68" s="3" t="s">
        <v>1796</v>
      </c>
      <c r="E68" s="3">
        <v>31</v>
      </c>
      <c r="F68" s="3" t="s">
        <v>23</v>
      </c>
      <c r="G68" s="3" t="s">
        <v>29</v>
      </c>
      <c r="H68" s="3"/>
      <c r="I68" s="3"/>
      <c r="J68" s="25" t="s">
        <v>1780</v>
      </c>
      <c r="K68" s="3"/>
      <c r="L68" s="3"/>
      <c r="M68" s="20"/>
      <c r="O68" s="3">
        <v>1</v>
      </c>
      <c r="P68" s="3"/>
      <c r="Q68" s="3"/>
      <c r="R68" s="3"/>
      <c r="S68" s="3"/>
    </row>
    <row r="69" spans="1:19" ht="25" customHeight="1" x14ac:dyDescent="0.3">
      <c r="A69" s="3">
        <v>61</v>
      </c>
      <c r="B69" s="3" t="s">
        <v>1323</v>
      </c>
      <c r="C69" s="3" t="s">
        <v>177</v>
      </c>
      <c r="D69" s="3" t="s">
        <v>120</v>
      </c>
      <c r="E69" s="3">
        <v>34</v>
      </c>
      <c r="F69" s="3" t="s">
        <v>23</v>
      </c>
      <c r="G69" s="3" t="s">
        <v>29</v>
      </c>
      <c r="H69" s="3"/>
      <c r="I69" s="3"/>
      <c r="J69" s="25" t="s">
        <v>1803</v>
      </c>
      <c r="K69" s="3"/>
      <c r="L69" s="3"/>
      <c r="M69" s="20"/>
      <c r="O69" s="3">
        <v>1</v>
      </c>
      <c r="P69" s="3"/>
      <c r="Q69" s="3"/>
      <c r="R69" s="3"/>
      <c r="S69" s="3"/>
    </row>
    <row r="70" spans="1:19" ht="15.5" x14ac:dyDescent="0.3">
      <c r="A70" s="3">
        <v>62</v>
      </c>
      <c r="B70" s="3" t="s">
        <v>1810</v>
      </c>
      <c r="C70" s="3" t="s">
        <v>1811</v>
      </c>
      <c r="D70" s="3" t="s">
        <v>1812</v>
      </c>
      <c r="E70" s="3">
        <v>30</v>
      </c>
      <c r="F70" s="3" t="s">
        <v>23</v>
      </c>
      <c r="G70" s="3" t="s">
        <v>29</v>
      </c>
      <c r="H70" s="3"/>
      <c r="I70" s="3"/>
      <c r="J70" s="23" t="s">
        <v>1813</v>
      </c>
      <c r="K70" s="3"/>
      <c r="L70" s="6"/>
      <c r="M70" s="20"/>
      <c r="O70" s="3">
        <v>1</v>
      </c>
      <c r="P70" s="3"/>
      <c r="Q70" s="3"/>
      <c r="R70" s="3"/>
      <c r="S70" s="3"/>
    </row>
    <row r="71" spans="1:19" ht="25" customHeight="1" x14ac:dyDescent="0.3">
      <c r="A71" s="3">
        <v>63</v>
      </c>
      <c r="B71" s="3" t="s">
        <v>1891</v>
      </c>
      <c r="C71" s="3" t="s">
        <v>327</v>
      </c>
      <c r="D71" s="3" t="s">
        <v>925</v>
      </c>
      <c r="E71" s="3">
        <v>30</v>
      </c>
      <c r="F71" s="3" t="s">
        <v>23</v>
      </c>
      <c r="G71" s="3" t="s">
        <v>29</v>
      </c>
      <c r="H71" s="3"/>
      <c r="I71" s="3"/>
      <c r="J71" s="25" t="s">
        <v>1890</v>
      </c>
      <c r="K71" s="3"/>
      <c r="L71" s="3"/>
      <c r="M71" s="20"/>
      <c r="O71" s="3">
        <v>1</v>
      </c>
      <c r="P71" s="3"/>
      <c r="Q71" s="3"/>
      <c r="R71" s="3"/>
      <c r="S71" s="3"/>
    </row>
    <row r="72" spans="1:19" ht="25" customHeight="1" x14ac:dyDescent="0.3">
      <c r="A72" s="3">
        <v>64</v>
      </c>
      <c r="B72" s="3" t="s">
        <v>2006</v>
      </c>
      <c r="C72" s="3" t="s">
        <v>352</v>
      </c>
      <c r="D72" s="3" t="s">
        <v>91</v>
      </c>
      <c r="E72" s="3">
        <v>33</v>
      </c>
      <c r="F72" s="3" t="s">
        <v>23</v>
      </c>
      <c r="G72" s="3" t="s">
        <v>29</v>
      </c>
      <c r="H72" s="3"/>
      <c r="I72" s="3"/>
      <c r="J72" s="3" t="s">
        <v>1980</v>
      </c>
      <c r="K72" s="3"/>
      <c r="L72" s="3"/>
      <c r="M72" s="20"/>
      <c r="O72" s="3">
        <v>1</v>
      </c>
      <c r="P72" s="3"/>
      <c r="Q72" s="3"/>
      <c r="R72" s="3"/>
      <c r="S72" s="3"/>
    </row>
    <row r="73" spans="1:19" ht="25" customHeight="1" x14ac:dyDescent="0.3">
      <c r="A73" s="3">
        <v>65</v>
      </c>
      <c r="B73" s="3" t="s">
        <v>2007</v>
      </c>
      <c r="C73" s="3" t="s">
        <v>2008</v>
      </c>
      <c r="D73" s="3" t="s">
        <v>1689</v>
      </c>
      <c r="E73" s="3">
        <v>26</v>
      </c>
      <c r="F73" s="3" t="s">
        <v>23</v>
      </c>
      <c r="G73" s="3" t="s">
        <v>29</v>
      </c>
      <c r="H73" s="3"/>
      <c r="I73" s="3"/>
      <c r="J73" s="3" t="s">
        <v>2012</v>
      </c>
      <c r="K73" s="3"/>
      <c r="L73" s="3"/>
      <c r="M73" s="20"/>
      <c r="O73" s="3">
        <v>1</v>
      </c>
      <c r="P73" s="3"/>
      <c r="Q73" s="3"/>
      <c r="R73" s="3"/>
      <c r="S73" s="3"/>
    </row>
    <row r="74" spans="1:19" ht="25" customHeight="1" x14ac:dyDescent="0.3">
      <c r="A74" s="3">
        <v>66</v>
      </c>
      <c r="B74" s="3" t="s">
        <v>2009</v>
      </c>
      <c r="C74" s="3" t="s">
        <v>214</v>
      </c>
      <c r="D74" s="3" t="s">
        <v>850</v>
      </c>
      <c r="E74" s="3">
        <v>33</v>
      </c>
      <c r="F74" s="3" t="s">
        <v>23</v>
      </c>
      <c r="G74" s="3" t="s">
        <v>24</v>
      </c>
      <c r="H74" s="3"/>
      <c r="I74" s="3"/>
      <c r="J74" s="3"/>
      <c r="K74" s="3"/>
      <c r="L74" s="3"/>
      <c r="M74" s="20"/>
      <c r="O74" s="3"/>
      <c r="P74" s="3">
        <v>1</v>
      </c>
      <c r="Q74" s="3"/>
      <c r="R74" s="3"/>
      <c r="S74" s="3"/>
    </row>
    <row r="75" spans="1:19" ht="25" customHeight="1" x14ac:dyDescent="0.3">
      <c r="A75" s="3">
        <v>67</v>
      </c>
      <c r="B75" s="3" t="s">
        <v>575</v>
      </c>
      <c r="C75" s="3" t="s">
        <v>1223</v>
      </c>
      <c r="D75" s="3" t="s">
        <v>1223</v>
      </c>
      <c r="E75" s="3">
        <v>28</v>
      </c>
      <c r="F75" s="3" t="s">
        <v>23</v>
      </c>
      <c r="G75" s="3" t="s">
        <v>29</v>
      </c>
      <c r="H75" s="3"/>
      <c r="I75" s="3"/>
      <c r="J75" s="3" t="s">
        <v>2013</v>
      </c>
      <c r="K75" s="3"/>
      <c r="L75" s="3"/>
      <c r="M75" s="20"/>
      <c r="O75" s="3">
        <v>1</v>
      </c>
      <c r="P75" s="3"/>
      <c r="Q75" s="3"/>
      <c r="R75" s="3"/>
      <c r="S75" s="3"/>
    </row>
    <row r="76" spans="1:19" ht="25" customHeight="1" x14ac:dyDescent="0.3">
      <c r="A76" s="3">
        <v>68</v>
      </c>
      <c r="B76" s="3" t="s">
        <v>2010</v>
      </c>
      <c r="C76" s="3" t="s">
        <v>1340</v>
      </c>
      <c r="D76" s="3" t="s">
        <v>2011</v>
      </c>
      <c r="E76" s="3">
        <v>25</v>
      </c>
      <c r="F76" s="3" t="s">
        <v>23</v>
      </c>
      <c r="G76" s="3" t="s">
        <v>29</v>
      </c>
      <c r="H76" s="3"/>
      <c r="I76" s="3"/>
      <c r="J76" s="3" t="s">
        <v>920</v>
      </c>
      <c r="K76" s="3"/>
      <c r="L76" s="3"/>
      <c r="M76" s="20"/>
      <c r="O76" s="3">
        <v>1</v>
      </c>
      <c r="P76" s="3"/>
      <c r="Q76" s="3"/>
      <c r="R76" s="3"/>
      <c r="S76" s="3"/>
    </row>
    <row r="77" spans="1:19" ht="25" customHeight="1" x14ac:dyDescent="0.3">
      <c r="A77" s="3">
        <v>69</v>
      </c>
      <c r="B77" s="3" t="s">
        <v>745</v>
      </c>
      <c r="C77" s="3" t="s">
        <v>222</v>
      </c>
      <c r="D77" s="3" t="s">
        <v>174</v>
      </c>
      <c r="E77" s="3">
        <v>30</v>
      </c>
      <c r="F77" s="3" t="s">
        <v>23</v>
      </c>
      <c r="G77" s="3" t="s">
        <v>29</v>
      </c>
      <c r="H77" s="3"/>
      <c r="I77" s="3"/>
      <c r="J77" s="3" t="s">
        <v>923</v>
      </c>
      <c r="K77" s="3"/>
      <c r="L77" s="3"/>
      <c r="M77" s="20"/>
      <c r="O77" s="3">
        <v>1</v>
      </c>
      <c r="P77" s="3"/>
      <c r="Q77" s="3"/>
      <c r="R77" s="3"/>
      <c r="S77" s="3"/>
    </row>
    <row r="78" spans="1:19" ht="25" customHeight="1" x14ac:dyDescent="0.3">
      <c r="A78" s="3">
        <v>70</v>
      </c>
      <c r="B78" s="36" t="s">
        <v>2208</v>
      </c>
      <c r="C78" s="36" t="s">
        <v>711</v>
      </c>
      <c r="D78" s="36" t="s">
        <v>2209</v>
      </c>
      <c r="E78" s="36">
        <v>23</v>
      </c>
      <c r="F78" s="36" t="s">
        <v>23</v>
      </c>
      <c r="G78" s="36" t="s">
        <v>29</v>
      </c>
      <c r="H78" s="3"/>
      <c r="I78" s="3"/>
      <c r="J78" s="36" t="s">
        <v>2185</v>
      </c>
      <c r="K78" s="3"/>
      <c r="L78" s="3"/>
      <c r="M78" s="5"/>
      <c r="O78" s="3"/>
      <c r="P78" s="3">
        <v>1</v>
      </c>
      <c r="Q78" s="3"/>
      <c r="R78" s="3"/>
      <c r="S78" s="3"/>
    </row>
    <row r="79" spans="1:19" ht="20.5" x14ac:dyDescent="0.3">
      <c r="E79" s="48" t="s">
        <v>55</v>
      </c>
      <c r="F79" s="48"/>
      <c r="G79" s="10">
        <f>O79+P79+Q79+R79+S79</f>
        <v>70</v>
      </c>
      <c r="J79" s="19"/>
      <c r="K79" s="7"/>
      <c r="L79" s="9"/>
      <c r="M79" s="8"/>
      <c r="O79" s="7">
        <f>SUM(O9:O78)</f>
        <v>43</v>
      </c>
      <c r="P79" s="7">
        <f>SUM(P9:P78)</f>
        <v>24</v>
      </c>
      <c r="Q79" s="7">
        <f>SUM(Q9:Q78)</f>
        <v>1</v>
      </c>
      <c r="R79" s="7">
        <f>SUM(R9:R78)</f>
        <v>2</v>
      </c>
      <c r="S79" s="7">
        <f>SUM(S9:S78)</f>
        <v>0</v>
      </c>
    </row>
  </sheetData>
  <mergeCells count="6">
    <mergeCell ref="E79:F79"/>
    <mergeCell ref="A2:I2"/>
    <mergeCell ref="A3:I3"/>
    <mergeCell ref="A4:I4"/>
    <mergeCell ref="A6:I6"/>
    <mergeCell ref="A7:I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5BB2-87A9-461E-8A86-2C711BF818CA}">
  <dimension ref="A2:S21"/>
  <sheetViews>
    <sheetView workbookViewId="0">
      <pane xSplit="7" ySplit="10" topLeftCell="H12" activePane="bottomRight" state="frozenSplit"/>
      <selection pane="topRight" activeCell="H1" sqref="H1"/>
      <selection pane="bottomLeft" activeCell="A11" sqref="A11"/>
      <selection pane="bottomRight" activeCell="D20" sqref="D20"/>
    </sheetView>
  </sheetViews>
  <sheetFormatPr baseColWidth="10" defaultColWidth="11.453125" defaultRowHeight="14" x14ac:dyDescent="0.3"/>
  <cols>
    <col min="1" max="1" width="11.453125" style="31"/>
    <col min="2" max="2" width="22.1796875" style="31" customWidth="1"/>
    <col min="3" max="4" width="20.7265625" style="31" customWidth="1"/>
    <col min="5" max="5" width="11.453125" style="31"/>
    <col min="6" max="6" width="12.26953125" style="18" customWidth="1"/>
    <col min="7" max="7" width="18.81640625" style="18" bestFit="1" customWidth="1"/>
    <col min="8" max="8" width="20.453125" style="18" bestFit="1" customWidth="1"/>
    <col min="9" max="9" width="18.1796875" style="18" bestFit="1" customWidth="1"/>
    <col min="10" max="10" width="17.81640625" style="18" customWidth="1"/>
    <col min="11" max="13" width="18.1796875" style="18" hidden="1" customWidth="1"/>
    <col min="14" max="16384" width="11.453125" style="18"/>
  </cols>
  <sheetData>
    <row r="2" spans="1:19" ht="20.5" x14ac:dyDescent="0.45">
      <c r="A2" s="49" t="s">
        <v>9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10</v>
      </c>
      <c r="B3" s="49"/>
      <c r="C3" s="49"/>
      <c r="D3" s="49"/>
      <c r="E3" s="49"/>
      <c r="F3" s="49"/>
      <c r="G3" s="49"/>
      <c r="H3" s="49"/>
      <c r="I3" s="49"/>
    </row>
    <row r="4" spans="1:19" ht="20.5" x14ac:dyDescent="0.45">
      <c r="A4" s="49" t="s">
        <v>11</v>
      </c>
      <c r="B4" s="49"/>
      <c r="C4" s="49"/>
      <c r="D4" s="49"/>
      <c r="E4" s="49"/>
      <c r="F4" s="49"/>
      <c r="G4" s="49"/>
      <c r="H4" s="49"/>
      <c r="I4" s="49"/>
    </row>
    <row r="5" spans="1:19" ht="9" customHeight="1" x14ac:dyDescent="0.45">
      <c r="A5" s="29"/>
      <c r="B5" s="29"/>
      <c r="C5" s="29"/>
      <c r="D5" s="29"/>
      <c r="E5" s="29"/>
      <c r="F5" s="4"/>
      <c r="G5" s="4"/>
      <c r="H5" s="4"/>
      <c r="I5" s="4"/>
      <c r="K5" s="4"/>
      <c r="L5" s="4"/>
      <c r="M5" s="4"/>
    </row>
    <row r="7" spans="1:19" ht="18" x14ac:dyDescent="0.4">
      <c r="A7" s="50" t="s">
        <v>13</v>
      </c>
      <c r="B7" s="50"/>
      <c r="C7" s="50"/>
      <c r="D7" s="50"/>
      <c r="E7" s="50"/>
      <c r="F7" s="50"/>
      <c r="G7" s="50"/>
      <c r="H7" s="50"/>
      <c r="I7" s="50"/>
    </row>
    <row r="8" spans="1:19" ht="18" x14ac:dyDescent="0.4">
      <c r="A8" s="50" t="s">
        <v>19</v>
      </c>
      <c r="B8" s="50"/>
      <c r="C8" s="50"/>
      <c r="D8" s="50"/>
      <c r="E8" s="50"/>
      <c r="F8" s="50"/>
      <c r="G8" s="50"/>
      <c r="H8" s="50"/>
      <c r="I8" s="50"/>
    </row>
    <row r="9" spans="1:19" ht="18" x14ac:dyDescent="0.4">
      <c r="A9" s="51"/>
      <c r="B9" s="51"/>
      <c r="C9" s="51"/>
      <c r="D9" s="51"/>
      <c r="E9" s="51"/>
      <c r="F9" s="51"/>
      <c r="G9" s="51"/>
      <c r="H9" s="51"/>
      <c r="I9" s="51"/>
    </row>
    <row r="10" spans="1:19" ht="15.5" x14ac:dyDescent="0.35">
      <c r="A10" s="30" t="s">
        <v>6</v>
      </c>
      <c r="B10" s="30" t="s">
        <v>0</v>
      </c>
      <c r="C10" s="30" t="s">
        <v>1</v>
      </c>
      <c r="D10" s="30" t="s">
        <v>2</v>
      </c>
      <c r="E10" s="30" t="s">
        <v>3</v>
      </c>
      <c r="F10" s="2" t="s">
        <v>4</v>
      </c>
      <c r="G10" s="2" t="s">
        <v>5</v>
      </c>
      <c r="H10" s="2" t="s">
        <v>7</v>
      </c>
      <c r="I10" s="2" t="s">
        <v>8</v>
      </c>
      <c r="J10" s="2" t="s">
        <v>316</v>
      </c>
      <c r="K10" s="2" t="s">
        <v>15</v>
      </c>
      <c r="L10" s="2" t="s">
        <v>16</v>
      </c>
      <c r="M10" s="2" t="s">
        <v>17</v>
      </c>
      <c r="O10" s="2" t="s">
        <v>29</v>
      </c>
      <c r="P10" s="2" t="s">
        <v>24</v>
      </c>
      <c r="Q10" s="2" t="s">
        <v>36</v>
      </c>
      <c r="R10" s="2" t="s">
        <v>66</v>
      </c>
      <c r="S10" s="2" t="s">
        <v>65</v>
      </c>
    </row>
    <row r="11" spans="1:19" ht="25" customHeight="1" x14ac:dyDescent="0.3">
      <c r="A11" s="3">
        <v>1</v>
      </c>
      <c r="B11" s="3" t="s">
        <v>236</v>
      </c>
      <c r="C11" s="3" t="s">
        <v>201</v>
      </c>
      <c r="D11" s="3" t="s">
        <v>201</v>
      </c>
      <c r="E11" s="3">
        <v>38</v>
      </c>
      <c r="F11" s="3" t="s">
        <v>23</v>
      </c>
      <c r="G11" s="3" t="s">
        <v>24</v>
      </c>
      <c r="H11" s="3"/>
      <c r="I11" s="3"/>
      <c r="J11" s="25"/>
      <c r="K11" s="3" t="s">
        <v>67</v>
      </c>
      <c r="L11" s="3">
        <v>613555</v>
      </c>
      <c r="M11" s="20">
        <v>200</v>
      </c>
      <c r="O11" s="3"/>
      <c r="P11" s="3">
        <v>1</v>
      </c>
      <c r="Q11" s="3"/>
      <c r="R11" s="3"/>
      <c r="S11" s="3"/>
    </row>
    <row r="12" spans="1:19" ht="25" customHeight="1" x14ac:dyDescent="0.3">
      <c r="A12" s="3">
        <v>2</v>
      </c>
      <c r="B12" s="3" t="s">
        <v>527</v>
      </c>
      <c r="C12" s="3" t="s">
        <v>528</v>
      </c>
      <c r="D12" s="3" t="s">
        <v>529</v>
      </c>
      <c r="E12" s="3">
        <v>39</v>
      </c>
      <c r="F12" s="3" t="s">
        <v>23</v>
      </c>
      <c r="G12" s="3" t="s">
        <v>29</v>
      </c>
      <c r="H12" s="3"/>
      <c r="I12" s="3"/>
      <c r="J12" s="25" t="s">
        <v>516</v>
      </c>
      <c r="K12" s="3"/>
      <c r="L12" s="3"/>
      <c r="M12" s="20"/>
      <c r="O12" s="3">
        <v>1</v>
      </c>
      <c r="P12" s="3"/>
      <c r="Q12" s="3"/>
      <c r="R12" s="3"/>
      <c r="S12" s="3"/>
    </row>
    <row r="13" spans="1:19" ht="25" customHeight="1" x14ac:dyDescent="0.3">
      <c r="A13" s="3">
        <v>3</v>
      </c>
      <c r="B13" s="3" t="s">
        <v>755</v>
      </c>
      <c r="C13" s="3" t="s">
        <v>756</v>
      </c>
      <c r="D13" s="3" t="s">
        <v>433</v>
      </c>
      <c r="E13" s="3">
        <v>50</v>
      </c>
      <c r="F13" s="3" t="s">
        <v>23</v>
      </c>
      <c r="G13" s="3" t="s">
        <v>24</v>
      </c>
      <c r="H13" s="3"/>
      <c r="I13" s="3"/>
      <c r="J13" s="3" t="s">
        <v>758</v>
      </c>
      <c r="K13" s="3"/>
      <c r="L13" s="3"/>
      <c r="M13" s="20"/>
      <c r="O13" s="3"/>
      <c r="P13" s="3">
        <v>1</v>
      </c>
      <c r="Q13" s="3"/>
      <c r="R13" s="3"/>
      <c r="S13" s="3"/>
    </row>
    <row r="14" spans="1:19" ht="25" customHeight="1" x14ac:dyDescent="0.3">
      <c r="A14" s="3">
        <v>4</v>
      </c>
      <c r="B14" s="3" t="s">
        <v>757</v>
      </c>
      <c r="C14" s="3" t="s">
        <v>395</v>
      </c>
      <c r="D14" s="3" t="s">
        <v>708</v>
      </c>
      <c r="E14" s="3">
        <v>42</v>
      </c>
      <c r="F14" s="3" t="s">
        <v>23</v>
      </c>
      <c r="G14" s="3" t="s">
        <v>29</v>
      </c>
      <c r="H14" s="3"/>
      <c r="I14" s="3"/>
      <c r="J14" s="3" t="s">
        <v>758</v>
      </c>
      <c r="K14" s="3"/>
      <c r="L14" s="3"/>
      <c r="M14" s="20"/>
      <c r="O14" s="3">
        <v>1</v>
      </c>
      <c r="P14" s="3"/>
      <c r="Q14" s="3"/>
      <c r="R14" s="3"/>
      <c r="S14" s="3"/>
    </row>
    <row r="15" spans="1:19" ht="25" customHeight="1" x14ac:dyDescent="0.3">
      <c r="A15" s="3">
        <v>5</v>
      </c>
      <c r="B15" s="3" t="s">
        <v>909</v>
      </c>
      <c r="C15" s="3" t="s">
        <v>910</v>
      </c>
      <c r="D15" s="3" t="s">
        <v>228</v>
      </c>
      <c r="E15" s="3">
        <v>37</v>
      </c>
      <c r="F15" s="3" t="s">
        <v>23</v>
      </c>
      <c r="G15" s="3" t="s">
        <v>24</v>
      </c>
      <c r="H15" s="3"/>
      <c r="I15" s="3"/>
      <c r="J15" s="25" t="s">
        <v>571</v>
      </c>
      <c r="K15" s="3"/>
      <c r="L15" s="3"/>
      <c r="M15" s="20"/>
      <c r="N15" s="24"/>
      <c r="O15" s="3"/>
      <c r="P15" s="3">
        <v>1</v>
      </c>
      <c r="Q15" s="3"/>
      <c r="R15" s="3"/>
      <c r="S15" s="3"/>
    </row>
    <row r="16" spans="1:19" ht="25" customHeight="1" x14ac:dyDescent="0.3">
      <c r="A16" s="3">
        <v>6</v>
      </c>
      <c r="B16" s="3" t="s">
        <v>1271</v>
      </c>
      <c r="C16" s="3" t="s">
        <v>1272</v>
      </c>
      <c r="D16" s="3" t="s">
        <v>1273</v>
      </c>
      <c r="E16" s="3">
        <v>41</v>
      </c>
      <c r="F16" s="3" t="s">
        <v>23</v>
      </c>
      <c r="G16" s="3" t="s">
        <v>24</v>
      </c>
      <c r="H16" s="3"/>
      <c r="I16" s="3"/>
      <c r="J16" s="25" t="s">
        <v>1196</v>
      </c>
      <c r="K16" s="3"/>
      <c r="L16" s="3"/>
      <c r="M16" s="20"/>
      <c r="O16" s="3"/>
      <c r="P16" s="3">
        <v>1</v>
      </c>
      <c r="Q16" s="3"/>
      <c r="R16" s="3"/>
      <c r="S16" s="3"/>
    </row>
    <row r="17" spans="1:19" ht="25" customHeight="1" x14ac:dyDescent="0.3">
      <c r="A17" s="3">
        <v>7</v>
      </c>
      <c r="B17" s="3" t="s">
        <v>1377</v>
      </c>
      <c r="C17" s="3" t="s">
        <v>329</v>
      </c>
      <c r="D17" s="3" t="s">
        <v>600</v>
      </c>
      <c r="E17" s="3">
        <v>41</v>
      </c>
      <c r="F17" s="3" t="s">
        <v>23</v>
      </c>
      <c r="G17" s="3" t="s">
        <v>24</v>
      </c>
      <c r="H17" s="3"/>
      <c r="I17" s="3"/>
      <c r="J17" s="25"/>
      <c r="K17" s="3"/>
      <c r="L17" s="3"/>
      <c r="M17" s="20"/>
      <c r="O17" s="3"/>
      <c r="P17" s="3">
        <v>1</v>
      </c>
      <c r="Q17" s="3"/>
      <c r="R17" s="3"/>
      <c r="S17" s="3"/>
    </row>
    <row r="18" spans="1:19" ht="25" customHeight="1" x14ac:dyDescent="0.3">
      <c r="A18" s="3">
        <v>8</v>
      </c>
      <c r="B18" s="3" t="s">
        <v>1330</v>
      </c>
      <c r="C18" s="3" t="s">
        <v>1378</v>
      </c>
      <c r="D18" s="3" t="s">
        <v>1379</v>
      </c>
      <c r="E18" s="3">
        <v>31</v>
      </c>
      <c r="F18" s="3" t="s">
        <v>23</v>
      </c>
      <c r="G18" s="3" t="s">
        <v>24</v>
      </c>
      <c r="H18" s="3"/>
      <c r="I18" s="3"/>
      <c r="J18" s="3" t="s">
        <v>571</v>
      </c>
      <c r="K18" s="3"/>
      <c r="L18" s="3"/>
      <c r="M18" s="20"/>
      <c r="O18" s="3"/>
      <c r="P18" s="3">
        <v>1</v>
      </c>
      <c r="Q18" s="3"/>
      <c r="R18" s="3"/>
      <c r="S18" s="3"/>
    </row>
    <row r="19" spans="1:19" ht="25" customHeight="1" x14ac:dyDescent="0.3">
      <c r="A19" s="3">
        <v>9</v>
      </c>
      <c r="B19" s="3" t="s">
        <v>2014</v>
      </c>
      <c r="C19" s="3" t="s">
        <v>910</v>
      </c>
      <c r="D19" s="3" t="s">
        <v>228</v>
      </c>
      <c r="E19" s="3">
        <v>41</v>
      </c>
      <c r="F19" s="3" t="s">
        <v>23</v>
      </c>
      <c r="G19" s="3" t="s">
        <v>36</v>
      </c>
      <c r="H19" s="3"/>
      <c r="I19" s="3"/>
      <c r="J19" s="3" t="s">
        <v>571</v>
      </c>
      <c r="K19" s="3"/>
      <c r="L19" s="3"/>
      <c r="M19" s="20"/>
      <c r="O19" s="3"/>
      <c r="P19" s="3"/>
      <c r="Q19" s="3">
        <v>1</v>
      </c>
      <c r="R19" s="3"/>
      <c r="S19" s="3"/>
    </row>
    <row r="20" spans="1:19" ht="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25"/>
      <c r="K20" s="3"/>
      <c r="L20" s="3"/>
      <c r="M20" s="5"/>
      <c r="O20" s="3"/>
      <c r="P20" s="3"/>
      <c r="Q20" s="3"/>
      <c r="R20" s="3"/>
      <c r="S20" s="3"/>
    </row>
    <row r="21" spans="1:19" ht="20.5" x14ac:dyDescent="0.3">
      <c r="H21" s="7" t="s">
        <v>55</v>
      </c>
      <c r="I21" s="10">
        <f>O21+P21+Q21+R21+S21</f>
        <v>9</v>
      </c>
      <c r="J21" s="19"/>
      <c r="K21" s="7"/>
      <c r="L21" s="9"/>
      <c r="M21" s="8"/>
      <c r="O21" s="7">
        <f>SUM(O11:O20)</f>
        <v>2</v>
      </c>
      <c r="P21" s="7">
        <f>SUM(P11:P20)</f>
        <v>6</v>
      </c>
      <c r="Q21" s="7">
        <f>SUM(Q11:Q20)</f>
        <v>1</v>
      </c>
      <c r="R21" s="7">
        <f>SUM(R11:R20)</f>
        <v>0</v>
      </c>
      <c r="S21" s="7">
        <f>SUM(S11:S20)</f>
        <v>0</v>
      </c>
    </row>
  </sheetData>
  <mergeCells count="6">
    <mergeCell ref="A7:I7"/>
    <mergeCell ref="A8:I8"/>
    <mergeCell ref="A9:I9"/>
    <mergeCell ref="A2:I2"/>
    <mergeCell ref="A3:I3"/>
    <mergeCell ref="A4:I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E869-46E7-49EE-9CC1-2589662D5762}">
  <dimension ref="A2:S278"/>
  <sheetViews>
    <sheetView zoomScale="90" zoomScaleNormal="90" workbookViewId="0">
      <pane xSplit="12030" ySplit="2840" topLeftCell="H198" activePane="bottomLeft"/>
      <selection activeCell="A9" sqref="A1:XFD9"/>
      <selection pane="topRight" activeCell="G1" sqref="G1"/>
      <selection pane="bottomLeft" activeCell="C202" sqref="C202"/>
      <selection pane="bottomRight" activeCell="H211" sqref="H211"/>
    </sheetView>
  </sheetViews>
  <sheetFormatPr baseColWidth="10" defaultColWidth="11.453125" defaultRowHeight="14" x14ac:dyDescent="0.3"/>
  <cols>
    <col min="1" max="1" width="11.453125" style="18"/>
    <col min="2" max="4" width="20.7265625" style="18" customWidth="1"/>
    <col min="5" max="5" width="11.453125" style="18"/>
    <col min="6" max="6" width="14" style="18" bestFit="1" customWidth="1"/>
    <col min="7" max="7" width="18.81640625" style="18" bestFit="1" customWidth="1"/>
    <col min="8" max="8" width="20.453125" style="18" bestFit="1" customWidth="1"/>
    <col min="9" max="9" width="18.1796875" style="18" bestFit="1" customWidth="1"/>
    <col min="10" max="10" width="19.7265625" style="18" customWidth="1"/>
    <col min="11" max="11" width="18.1796875" style="18" hidden="1" customWidth="1"/>
    <col min="12" max="12" width="19.1796875" style="18" hidden="1" customWidth="1"/>
    <col min="13" max="13" width="18.1796875" style="18" hidden="1" customWidth="1"/>
    <col min="14" max="16384" width="11.453125" style="18"/>
  </cols>
  <sheetData>
    <row r="2" spans="1:19" ht="20.5" x14ac:dyDescent="0.45">
      <c r="A2" s="49" t="s">
        <v>9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10</v>
      </c>
      <c r="B3" s="49"/>
      <c r="C3" s="49"/>
      <c r="D3" s="49"/>
      <c r="E3" s="49"/>
      <c r="F3" s="49"/>
      <c r="G3" s="49"/>
      <c r="H3" s="49"/>
      <c r="I3" s="49"/>
    </row>
    <row r="4" spans="1:19" ht="20.5" x14ac:dyDescent="0.45">
      <c r="A4" s="49" t="s">
        <v>11</v>
      </c>
      <c r="B4" s="49"/>
      <c r="C4" s="49"/>
      <c r="D4" s="49"/>
      <c r="E4" s="49"/>
      <c r="F4" s="49"/>
      <c r="G4" s="49"/>
      <c r="H4" s="49"/>
      <c r="I4" s="49"/>
    </row>
    <row r="5" spans="1:19" ht="9" customHeight="1" x14ac:dyDescent="0.45">
      <c r="A5" s="4"/>
      <c r="B5" s="4"/>
      <c r="C5" s="4"/>
      <c r="D5" s="4"/>
      <c r="E5" s="4"/>
      <c r="F5" s="4"/>
      <c r="G5" s="4"/>
      <c r="H5" s="4"/>
      <c r="I5" s="4"/>
      <c r="K5" s="4"/>
      <c r="L5" s="4"/>
      <c r="M5" s="4"/>
    </row>
    <row r="6" spans="1:19" ht="18" x14ac:dyDescent="0.4">
      <c r="A6" s="50" t="s">
        <v>14</v>
      </c>
      <c r="B6" s="50"/>
      <c r="C6" s="50"/>
      <c r="D6" s="50"/>
      <c r="E6" s="50"/>
      <c r="F6" s="50"/>
      <c r="G6" s="50"/>
      <c r="H6" s="50"/>
      <c r="I6" s="50"/>
    </row>
    <row r="7" spans="1:19" ht="18" x14ac:dyDescent="0.4">
      <c r="A7" s="50" t="s">
        <v>18</v>
      </c>
      <c r="B7" s="50"/>
      <c r="C7" s="50"/>
      <c r="D7" s="50"/>
      <c r="E7" s="50"/>
      <c r="F7" s="50"/>
      <c r="G7" s="50"/>
      <c r="H7" s="50"/>
      <c r="I7" s="50"/>
    </row>
    <row r="8" spans="1:19" ht="7.5" customHeight="1" x14ac:dyDescent="0.4">
      <c r="A8" s="51"/>
      <c r="B8" s="51"/>
      <c r="C8" s="51"/>
      <c r="D8" s="51"/>
      <c r="E8" s="51"/>
      <c r="F8" s="51"/>
      <c r="G8" s="51"/>
      <c r="H8" s="51"/>
      <c r="I8" s="51"/>
      <c r="J8" s="19"/>
    </row>
    <row r="9" spans="1:19" ht="15.5" x14ac:dyDescent="0.35">
      <c r="A9" s="2" t="s">
        <v>6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7</v>
      </c>
      <c r="I9" s="2" t="s">
        <v>8</v>
      </c>
      <c r="J9" s="2" t="s">
        <v>316</v>
      </c>
      <c r="K9" s="2" t="s">
        <v>15</v>
      </c>
      <c r="L9" s="2" t="s">
        <v>16</v>
      </c>
      <c r="M9" s="2" t="s">
        <v>17</v>
      </c>
      <c r="O9" s="35" t="s">
        <v>29</v>
      </c>
      <c r="P9" s="35" t="s">
        <v>24</v>
      </c>
      <c r="Q9" s="35" t="s">
        <v>36</v>
      </c>
      <c r="R9" s="35" t="s">
        <v>66</v>
      </c>
      <c r="S9" s="35" t="s">
        <v>65</v>
      </c>
    </row>
    <row r="10" spans="1:19" ht="25" customHeight="1" x14ac:dyDescent="0.3">
      <c r="A10" s="3"/>
      <c r="B10" s="3" t="s">
        <v>58</v>
      </c>
      <c r="C10" s="3" t="s">
        <v>59</v>
      </c>
      <c r="D10" s="3" t="s">
        <v>60</v>
      </c>
      <c r="E10" s="3">
        <v>25</v>
      </c>
      <c r="F10" s="3" t="s">
        <v>35</v>
      </c>
      <c r="G10" s="3" t="s">
        <v>36</v>
      </c>
      <c r="H10" s="3"/>
      <c r="I10" s="3"/>
      <c r="J10" s="24"/>
      <c r="K10" s="3" t="s">
        <v>30</v>
      </c>
      <c r="L10" s="3">
        <v>86688192</v>
      </c>
      <c r="M10" s="20">
        <v>200</v>
      </c>
      <c r="O10" s="3"/>
      <c r="P10" s="3"/>
      <c r="Q10" s="3">
        <v>1</v>
      </c>
      <c r="R10" s="3"/>
      <c r="S10" s="3"/>
    </row>
    <row r="11" spans="1:19" ht="25" customHeight="1" x14ac:dyDescent="0.3">
      <c r="A11" s="3"/>
      <c r="B11" s="3" t="s">
        <v>130</v>
      </c>
      <c r="C11" s="3" t="s">
        <v>131</v>
      </c>
      <c r="D11" s="3" t="s">
        <v>132</v>
      </c>
      <c r="E11" s="3">
        <v>34</v>
      </c>
      <c r="F11" s="3" t="s">
        <v>35</v>
      </c>
      <c r="G11" s="3" t="s">
        <v>64</v>
      </c>
      <c r="H11" s="3"/>
      <c r="I11" s="3"/>
      <c r="J11" s="24"/>
      <c r="K11" s="3" t="s">
        <v>25</v>
      </c>
      <c r="L11" s="3">
        <v>8196287</v>
      </c>
      <c r="M11" s="20">
        <v>200</v>
      </c>
      <c r="O11" s="3"/>
      <c r="P11" s="3"/>
      <c r="Q11" s="3"/>
      <c r="R11" s="3">
        <v>1</v>
      </c>
      <c r="S11" s="3"/>
    </row>
    <row r="12" spans="1:19" ht="25" customHeight="1" x14ac:dyDescent="0.3">
      <c r="A12" s="3"/>
      <c r="B12" s="3" t="s">
        <v>133</v>
      </c>
      <c r="C12" s="3" t="s">
        <v>134</v>
      </c>
      <c r="D12" s="3" t="s">
        <v>135</v>
      </c>
      <c r="E12" s="3">
        <v>32</v>
      </c>
      <c r="F12" s="3" t="s">
        <v>35</v>
      </c>
      <c r="G12" s="3" t="s">
        <v>36</v>
      </c>
      <c r="H12" s="3"/>
      <c r="I12" s="3"/>
      <c r="J12" s="24"/>
      <c r="K12" s="3" t="s">
        <v>25</v>
      </c>
      <c r="L12" s="3">
        <v>8196287</v>
      </c>
      <c r="M12" s="20">
        <v>200</v>
      </c>
      <c r="O12" s="3"/>
      <c r="P12" s="3"/>
      <c r="Q12" s="3">
        <v>1</v>
      </c>
      <c r="R12" s="3"/>
      <c r="S12" s="3"/>
    </row>
    <row r="13" spans="1:19" ht="25" customHeight="1" x14ac:dyDescent="0.3">
      <c r="A13" s="3"/>
      <c r="B13" s="3" t="s">
        <v>136</v>
      </c>
      <c r="C13" s="3" t="s">
        <v>137</v>
      </c>
      <c r="D13" s="3" t="s">
        <v>138</v>
      </c>
      <c r="E13" s="3">
        <v>24</v>
      </c>
      <c r="F13" s="3" t="s">
        <v>35</v>
      </c>
      <c r="G13" s="3" t="s">
        <v>64</v>
      </c>
      <c r="H13" s="3"/>
      <c r="I13" s="3"/>
      <c r="J13" s="24"/>
      <c r="K13" s="3" t="s">
        <v>25</v>
      </c>
      <c r="L13" s="3">
        <v>8196287</v>
      </c>
      <c r="M13" s="20">
        <v>200</v>
      </c>
      <c r="O13" s="3"/>
      <c r="P13" s="3"/>
      <c r="Q13" s="3"/>
      <c r="R13" s="3">
        <v>1</v>
      </c>
      <c r="S13" s="3"/>
    </row>
    <row r="14" spans="1:19" ht="25" customHeight="1" x14ac:dyDescent="0.3">
      <c r="A14" s="3"/>
      <c r="B14" s="3" t="s">
        <v>139</v>
      </c>
      <c r="C14" s="3" t="s">
        <v>140</v>
      </c>
      <c r="D14" s="3" t="s">
        <v>141</v>
      </c>
      <c r="E14" s="3">
        <v>35</v>
      </c>
      <c r="F14" s="3" t="s">
        <v>35</v>
      </c>
      <c r="G14" s="3" t="s">
        <v>36</v>
      </c>
      <c r="H14" s="3"/>
      <c r="I14" s="3"/>
      <c r="J14" s="24"/>
      <c r="K14" s="3" t="s">
        <v>25</v>
      </c>
      <c r="L14" s="3">
        <v>8196287</v>
      </c>
      <c r="M14" s="20">
        <v>200</v>
      </c>
      <c r="O14" s="3"/>
      <c r="P14" s="3"/>
      <c r="Q14" s="3">
        <v>1</v>
      </c>
      <c r="R14" s="3"/>
      <c r="S14" s="3"/>
    </row>
    <row r="15" spans="1:19" ht="25" customHeight="1" x14ac:dyDescent="0.3">
      <c r="A15" s="3"/>
      <c r="B15" s="3" t="s">
        <v>142</v>
      </c>
      <c r="C15" s="3" t="s">
        <v>143</v>
      </c>
      <c r="D15" s="3" t="s">
        <v>144</v>
      </c>
      <c r="E15" s="3">
        <v>32</v>
      </c>
      <c r="F15" s="3" t="s">
        <v>35</v>
      </c>
      <c r="G15" s="3" t="s">
        <v>64</v>
      </c>
      <c r="H15" s="3"/>
      <c r="I15" s="3"/>
      <c r="J15" s="24"/>
      <c r="K15" s="3" t="s">
        <v>25</v>
      </c>
      <c r="L15" s="3">
        <v>8196287</v>
      </c>
      <c r="M15" s="20">
        <v>200</v>
      </c>
      <c r="O15" s="3"/>
      <c r="P15" s="3"/>
      <c r="Q15" s="3"/>
      <c r="R15" s="3">
        <v>1</v>
      </c>
      <c r="S15" s="3"/>
    </row>
    <row r="16" spans="1:19" ht="25" customHeight="1" x14ac:dyDescent="0.3">
      <c r="A16" s="3"/>
      <c r="B16" s="3" t="s">
        <v>147</v>
      </c>
      <c r="C16" s="3" t="s">
        <v>146</v>
      </c>
      <c r="D16" s="3" t="s">
        <v>145</v>
      </c>
      <c r="E16" s="3">
        <v>24</v>
      </c>
      <c r="F16" s="3" t="s">
        <v>35</v>
      </c>
      <c r="G16" s="3" t="s">
        <v>24</v>
      </c>
      <c r="H16" s="3"/>
      <c r="I16" s="3"/>
      <c r="J16" s="24"/>
      <c r="K16" s="3" t="s">
        <v>25</v>
      </c>
      <c r="L16" s="3">
        <v>8196287</v>
      </c>
      <c r="M16" s="20">
        <v>200</v>
      </c>
      <c r="O16" s="3"/>
      <c r="P16" s="3">
        <v>1</v>
      </c>
      <c r="Q16" s="3"/>
      <c r="R16" s="3"/>
      <c r="S16" s="3"/>
    </row>
    <row r="17" spans="1:19" ht="25" customHeight="1" x14ac:dyDescent="0.3">
      <c r="A17" s="3"/>
      <c r="B17" s="3" t="s">
        <v>148</v>
      </c>
      <c r="C17" s="3" t="s">
        <v>149</v>
      </c>
      <c r="D17" s="3" t="s">
        <v>91</v>
      </c>
      <c r="E17" s="3">
        <v>33</v>
      </c>
      <c r="F17" s="3" t="s">
        <v>35</v>
      </c>
      <c r="G17" s="3" t="s">
        <v>24</v>
      </c>
      <c r="H17" s="3"/>
      <c r="I17" s="3"/>
      <c r="J17" s="24"/>
      <c r="K17" s="3" t="s">
        <v>25</v>
      </c>
      <c r="L17" s="3">
        <v>8196287</v>
      </c>
      <c r="M17" s="20">
        <v>200</v>
      </c>
      <c r="O17" s="3"/>
      <c r="P17" s="3">
        <v>1</v>
      </c>
      <c r="Q17" s="3"/>
      <c r="R17" s="3"/>
      <c r="S17" s="3"/>
    </row>
    <row r="18" spans="1:19" ht="25" customHeight="1" x14ac:dyDescent="0.3">
      <c r="A18" s="3"/>
      <c r="B18" s="3" t="s">
        <v>151</v>
      </c>
      <c r="C18" s="3" t="s">
        <v>109</v>
      </c>
      <c r="D18" s="3" t="s">
        <v>150</v>
      </c>
      <c r="E18" s="3">
        <v>27</v>
      </c>
      <c r="F18" s="3" t="s">
        <v>35</v>
      </c>
      <c r="G18" s="3" t="s">
        <v>24</v>
      </c>
      <c r="H18" s="3"/>
      <c r="I18" s="3"/>
      <c r="J18" s="24"/>
      <c r="K18" s="3" t="s">
        <v>25</v>
      </c>
      <c r="L18" s="3">
        <v>8196287</v>
      </c>
      <c r="M18" s="20">
        <v>200</v>
      </c>
      <c r="O18" s="3"/>
      <c r="P18" s="3">
        <v>1</v>
      </c>
      <c r="Q18" s="3"/>
      <c r="R18" s="3"/>
      <c r="S18" s="3"/>
    </row>
    <row r="19" spans="1:19" ht="25" customHeight="1" x14ac:dyDescent="0.3">
      <c r="A19" s="3"/>
      <c r="B19" s="3" t="s">
        <v>152</v>
      </c>
      <c r="C19" s="3" t="s">
        <v>153</v>
      </c>
      <c r="D19" s="3" t="s">
        <v>154</v>
      </c>
      <c r="E19" s="3">
        <v>25</v>
      </c>
      <c r="F19" s="3" t="s">
        <v>35</v>
      </c>
      <c r="G19" s="3" t="s">
        <v>29</v>
      </c>
      <c r="H19" s="3"/>
      <c r="I19" s="3"/>
      <c r="J19" s="24"/>
      <c r="K19" s="3" t="s">
        <v>25</v>
      </c>
      <c r="L19" s="3">
        <v>8196287</v>
      </c>
      <c r="M19" s="20">
        <v>200</v>
      </c>
      <c r="O19" s="3">
        <v>1</v>
      </c>
      <c r="P19" s="3"/>
      <c r="Q19" s="3"/>
      <c r="R19" s="3"/>
      <c r="S19" s="3"/>
    </row>
    <row r="20" spans="1:19" ht="25" customHeight="1" x14ac:dyDescent="0.3">
      <c r="A20" s="3"/>
      <c r="B20" s="3" t="s">
        <v>155</v>
      </c>
      <c r="C20" s="3" t="s">
        <v>156</v>
      </c>
      <c r="D20" s="3" t="s">
        <v>157</v>
      </c>
      <c r="E20" s="3">
        <v>26</v>
      </c>
      <c r="F20" s="3" t="s">
        <v>35</v>
      </c>
      <c r="G20" s="3" t="s">
        <v>65</v>
      </c>
      <c r="H20" s="3"/>
      <c r="I20" s="3"/>
      <c r="J20" s="24"/>
      <c r="K20" s="3" t="s">
        <v>30</v>
      </c>
      <c r="L20" s="3">
        <v>61002521</v>
      </c>
      <c r="M20" s="20">
        <v>200</v>
      </c>
      <c r="O20" s="3"/>
      <c r="P20" s="3"/>
      <c r="Q20" s="3"/>
      <c r="R20" s="3"/>
      <c r="S20" s="3">
        <v>1</v>
      </c>
    </row>
    <row r="21" spans="1:19" ht="25" customHeight="1" x14ac:dyDescent="0.3">
      <c r="A21" s="3"/>
      <c r="B21" s="3" t="s">
        <v>158</v>
      </c>
      <c r="C21" s="3" t="s">
        <v>159</v>
      </c>
      <c r="D21" s="3" t="s">
        <v>160</v>
      </c>
      <c r="E21" s="3">
        <v>35</v>
      </c>
      <c r="F21" s="3" t="s">
        <v>35</v>
      </c>
      <c r="G21" s="3" t="s">
        <v>24</v>
      </c>
      <c r="H21" s="3"/>
      <c r="I21" s="3"/>
      <c r="J21" s="24"/>
      <c r="K21" s="3" t="s">
        <v>68</v>
      </c>
      <c r="L21" s="3">
        <v>240926</v>
      </c>
      <c r="M21" s="20">
        <v>200</v>
      </c>
      <c r="O21" s="3"/>
      <c r="P21" s="3">
        <v>1</v>
      </c>
      <c r="Q21" s="3"/>
      <c r="R21" s="3"/>
      <c r="S21" s="3"/>
    </row>
    <row r="22" spans="1:19" ht="25" customHeight="1" x14ac:dyDescent="0.3">
      <c r="A22" s="3"/>
      <c r="B22" s="3" t="s">
        <v>213</v>
      </c>
      <c r="C22" s="3" t="s">
        <v>214</v>
      </c>
      <c r="D22" s="3" t="s">
        <v>215</v>
      </c>
      <c r="E22" s="3">
        <v>26</v>
      </c>
      <c r="F22" s="3" t="s">
        <v>35</v>
      </c>
      <c r="G22" s="3" t="s">
        <v>24</v>
      </c>
      <c r="H22" s="3"/>
      <c r="I22" s="3"/>
      <c r="J22" s="24"/>
      <c r="K22" s="3" t="s">
        <v>216</v>
      </c>
      <c r="L22" s="3">
        <v>3445804</v>
      </c>
      <c r="M22" s="20">
        <v>200</v>
      </c>
      <c r="O22" s="3"/>
      <c r="P22" s="3">
        <v>1</v>
      </c>
      <c r="Q22" s="3"/>
      <c r="R22" s="3"/>
      <c r="S22" s="3"/>
    </row>
    <row r="23" spans="1:19" ht="25" customHeight="1" x14ac:dyDescent="0.3">
      <c r="A23" s="3"/>
      <c r="B23" s="3" t="s">
        <v>224</v>
      </c>
      <c r="C23" s="3" t="s">
        <v>225</v>
      </c>
      <c r="D23" s="43" t="s">
        <v>223</v>
      </c>
      <c r="E23" s="3">
        <v>32</v>
      </c>
      <c r="F23" s="3" t="s">
        <v>35</v>
      </c>
      <c r="G23" s="3" t="s">
        <v>24</v>
      </c>
      <c r="H23" s="3"/>
      <c r="I23" s="3"/>
      <c r="J23" s="24"/>
      <c r="K23" s="3" t="s">
        <v>25</v>
      </c>
      <c r="L23" s="3">
        <v>234239</v>
      </c>
      <c r="M23" s="20">
        <v>200</v>
      </c>
      <c r="O23" s="3"/>
      <c r="P23" s="3">
        <v>1</v>
      </c>
      <c r="Q23" s="3"/>
      <c r="R23" s="3"/>
      <c r="S23" s="3"/>
    </row>
    <row r="24" spans="1:19" ht="25" customHeight="1" x14ac:dyDescent="0.3">
      <c r="A24" s="3"/>
      <c r="B24" s="3" t="s">
        <v>226</v>
      </c>
      <c r="C24" s="3" t="s">
        <v>227</v>
      </c>
      <c r="D24" s="3" t="s">
        <v>228</v>
      </c>
      <c r="E24" s="3">
        <v>35</v>
      </c>
      <c r="F24" s="3" t="s">
        <v>35</v>
      </c>
      <c r="G24" s="3" t="s">
        <v>36</v>
      </c>
      <c r="H24" s="3"/>
      <c r="I24" s="3"/>
      <c r="J24" s="24"/>
      <c r="K24" s="3" t="s">
        <v>48</v>
      </c>
      <c r="L24" s="6">
        <v>180848070354</v>
      </c>
      <c r="M24" s="20">
        <v>200</v>
      </c>
      <c r="O24" s="3"/>
      <c r="P24" s="3"/>
      <c r="Q24" s="3">
        <v>1</v>
      </c>
      <c r="R24" s="3"/>
      <c r="S24" s="3"/>
    </row>
    <row r="25" spans="1:19" ht="25" customHeight="1" x14ac:dyDescent="0.3">
      <c r="A25" s="3"/>
      <c r="B25" s="3" t="s">
        <v>237</v>
      </c>
      <c r="C25" s="3" t="s">
        <v>238</v>
      </c>
      <c r="D25" s="3" t="s">
        <v>222</v>
      </c>
      <c r="E25" s="3">
        <v>35</v>
      </c>
      <c r="F25" s="3" t="s">
        <v>35</v>
      </c>
      <c r="G25" s="3" t="s">
        <v>24</v>
      </c>
      <c r="H25" s="3"/>
      <c r="I25" s="3"/>
      <c r="J25" s="24"/>
      <c r="K25" s="3" t="s">
        <v>30</v>
      </c>
      <c r="L25" s="6">
        <v>2509260</v>
      </c>
      <c r="M25" s="20">
        <v>200</v>
      </c>
      <c r="O25" s="3"/>
      <c r="P25" s="3">
        <v>1</v>
      </c>
      <c r="Q25" s="3"/>
      <c r="R25" s="3"/>
      <c r="S25" s="3"/>
    </row>
    <row r="26" spans="1:19" ht="25" customHeight="1" x14ac:dyDescent="0.3">
      <c r="A26" s="3"/>
      <c r="B26" s="3" t="s">
        <v>253</v>
      </c>
      <c r="C26" s="3" t="s">
        <v>254</v>
      </c>
      <c r="D26" s="3" t="s">
        <v>255</v>
      </c>
      <c r="E26" s="3">
        <v>29</v>
      </c>
      <c r="F26" s="3" t="s">
        <v>35</v>
      </c>
      <c r="G26" s="3" t="s">
        <v>29</v>
      </c>
      <c r="H26" s="3"/>
      <c r="I26" s="3"/>
      <c r="J26" s="24"/>
      <c r="K26" s="3" t="s">
        <v>30</v>
      </c>
      <c r="L26" s="3">
        <v>77292686</v>
      </c>
      <c r="M26" s="20">
        <v>200</v>
      </c>
      <c r="O26" s="3">
        <v>1</v>
      </c>
      <c r="P26" s="3"/>
      <c r="Q26" s="3"/>
      <c r="R26" s="3"/>
      <c r="S26" s="3"/>
    </row>
    <row r="27" spans="1:19" ht="25" customHeight="1" x14ac:dyDescent="0.3">
      <c r="A27" s="3"/>
      <c r="B27" s="3" t="s">
        <v>257</v>
      </c>
      <c r="C27" s="3" t="s">
        <v>258</v>
      </c>
      <c r="D27" s="3" t="s">
        <v>259</v>
      </c>
      <c r="E27" s="3">
        <v>26</v>
      </c>
      <c r="F27" s="3" t="s">
        <v>35</v>
      </c>
      <c r="G27" s="3" t="s">
        <v>64</v>
      </c>
      <c r="H27" s="3"/>
      <c r="I27" s="3"/>
      <c r="J27" s="24"/>
      <c r="K27" s="3" t="s">
        <v>30</v>
      </c>
      <c r="L27" s="3">
        <v>94712494</v>
      </c>
      <c r="M27" s="20">
        <v>200</v>
      </c>
      <c r="O27" s="3"/>
      <c r="P27" s="3"/>
      <c r="Q27" s="3"/>
      <c r="R27" s="3">
        <v>1</v>
      </c>
      <c r="S27" s="3"/>
    </row>
    <row r="28" spans="1:19" ht="25" customHeight="1" x14ac:dyDescent="0.3">
      <c r="A28" s="3"/>
      <c r="B28" s="3" t="s">
        <v>260</v>
      </c>
      <c r="C28" s="3" t="s">
        <v>261</v>
      </c>
      <c r="D28" s="3" t="s">
        <v>254</v>
      </c>
      <c r="E28" s="3">
        <v>32</v>
      </c>
      <c r="F28" s="3" t="s">
        <v>35</v>
      </c>
      <c r="G28" s="3" t="s">
        <v>24</v>
      </c>
      <c r="H28" s="3"/>
      <c r="I28" s="3"/>
      <c r="J28" s="24"/>
      <c r="K28" s="3" t="s">
        <v>30</v>
      </c>
      <c r="L28" s="3">
        <v>41184447</v>
      </c>
      <c r="M28" s="20">
        <v>200</v>
      </c>
      <c r="O28" s="3"/>
      <c r="P28" s="3">
        <v>1</v>
      </c>
      <c r="Q28" s="3"/>
      <c r="R28" s="3"/>
      <c r="S28" s="3"/>
    </row>
    <row r="29" spans="1:19" ht="31" x14ac:dyDescent="0.3">
      <c r="A29" s="3"/>
      <c r="B29" s="3" t="s">
        <v>358</v>
      </c>
      <c r="C29" s="3" t="s">
        <v>34</v>
      </c>
      <c r="D29" s="3" t="s">
        <v>359</v>
      </c>
      <c r="E29" s="3">
        <v>27</v>
      </c>
      <c r="F29" s="3" t="s">
        <v>35</v>
      </c>
      <c r="G29" s="3" t="s">
        <v>24</v>
      </c>
      <c r="H29" s="3"/>
      <c r="I29" s="3"/>
      <c r="J29" s="24" t="s">
        <v>360</v>
      </c>
      <c r="K29" s="3" t="s">
        <v>68</v>
      </c>
      <c r="L29" s="6">
        <v>260926</v>
      </c>
      <c r="M29" s="20">
        <v>200</v>
      </c>
      <c r="O29" s="3"/>
      <c r="P29" s="3">
        <v>1</v>
      </c>
      <c r="Q29" s="3"/>
      <c r="R29" s="3"/>
      <c r="S29" s="3"/>
    </row>
    <row r="30" spans="1:19" ht="25" customHeight="1" x14ac:dyDescent="0.3">
      <c r="A30" s="3"/>
      <c r="B30" s="3" t="s">
        <v>361</v>
      </c>
      <c r="C30" s="3" t="s">
        <v>354</v>
      </c>
      <c r="D30" s="3" t="s">
        <v>362</v>
      </c>
      <c r="E30" s="3">
        <v>25</v>
      </c>
      <c r="F30" s="3" t="s">
        <v>35</v>
      </c>
      <c r="G30" s="3" t="s">
        <v>24</v>
      </c>
      <c r="H30" s="3"/>
      <c r="I30" s="3"/>
      <c r="J30" s="24" t="s">
        <v>363</v>
      </c>
      <c r="K30" s="3"/>
      <c r="L30" s="6"/>
      <c r="M30" s="20"/>
      <c r="O30" s="3"/>
      <c r="P30" s="3">
        <v>1</v>
      </c>
      <c r="Q30" s="3"/>
      <c r="R30" s="3"/>
      <c r="S30" s="3"/>
    </row>
    <row r="31" spans="1:19" ht="25" customHeight="1" x14ac:dyDescent="0.3">
      <c r="A31" s="3"/>
      <c r="B31" s="3" t="s">
        <v>398</v>
      </c>
      <c r="C31" s="3" t="s">
        <v>399</v>
      </c>
      <c r="D31" s="3" t="s">
        <v>400</v>
      </c>
      <c r="E31" s="3">
        <v>26</v>
      </c>
      <c r="F31" s="3" t="s">
        <v>35</v>
      </c>
      <c r="G31" s="3" t="s">
        <v>36</v>
      </c>
      <c r="H31" s="3"/>
      <c r="I31" s="3"/>
      <c r="J31" s="24" t="s">
        <v>401</v>
      </c>
      <c r="K31" s="3" t="s">
        <v>30</v>
      </c>
      <c r="L31" s="6">
        <v>34976741</v>
      </c>
      <c r="M31" s="20">
        <v>200</v>
      </c>
      <c r="O31" s="3"/>
      <c r="P31" s="3"/>
      <c r="Q31" s="3">
        <v>1</v>
      </c>
      <c r="R31" s="3"/>
      <c r="S31" s="3"/>
    </row>
    <row r="32" spans="1:19" ht="25" customHeight="1" x14ac:dyDescent="0.3">
      <c r="A32" s="3"/>
      <c r="B32" s="3" t="s">
        <v>407</v>
      </c>
      <c r="C32" s="3" t="s">
        <v>408</v>
      </c>
      <c r="D32" s="3" t="s">
        <v>111</v>
      </c>
      <c r="E32" s="3">
        <v>32</v>
      </c>
      <c r="F32" s="3" t="s">
        <v>35</v>
      </c>
      <c r="G32" s="3" t="s">
        <v>29</v>
      </c>
      <c r="H32" s="3"/>
      <c r="I32" s="3"/>
      <c r="J32" s="24" t="s">
        <v>409</v>
      </c>
      <c r="K32" s="3" t="s">
        <v>30</v>
      </c>
      <c r="L32" s="6">
        <v>61270203</v>
      </c>
      <c r="M32" s="20">
        <v>200</v>
      </c>
      <c r="O32" s="3">
        <v>1</v>
      </c>
      <c r="P32" s="3"/>
      <c r="Q32" s="3"/>
      <c r="R32" s="3"/>
      <c r="S32" s="3"/>
    </row>
    <row r="33" spans="1:19" ht="25" customHeight="1" x14ac:dyDescent="0.3">
      <c r="A33" s="3"/>
      <c r="B33" s="3" t="s">
        <v>413</v>
      </c>
      <c r="C33" s="3" t="s">
        <v>306</v>
      </c>
      <c r="D33" s="3" t="s">
        <v>88</v>
      </c>
      <c r="E33" s="3">
        <v>30</v>
      </c>
      <c r="F33" s="3" t="s">
        <v>35</v>
      </c>
      <c r="G33" s="3" t="s">
        <v>36</v>
      </c>
      <c r="H33" s="3"/>
      <c r="I33" s="3"/>
      <c r="J33" s="24" t="s">
        <v>409</v>
      </c>
      <c r="K33" s="3" t="s">
        <v>30</v>
      </c>
      <c r="L33" s="6">
        <v>37631828</v>
      </c>
      <c r="M33" s="20">
        <v>200</v>
      </c>
      <c r="O33" s="3"/>
      <c r="P33" s="3"/>
      <c r="Q33" s="3">
        <v>1</v>
      </c>
      <c r="R33" s="3"/>
      <c r="S33" s="3"/>
    </row>
    <row r="34" spans="1:19" ht="25" customHeight="1" x14ac:dyDescent="0.3">
      <c r="A34" s="3"/>
      <c r="B34" s="3" t="s">
        <v>429</v>
      </c>
      <c r="C34" s="3" t="s">
        <v>430</v>
      </c>
      <c r="D34" s="3" t="s">
        <v>431</v>
      </c>
      <c r="E34" s="3">
        <v>31</v>
      </c>
      <c r="F34" s="3" t="s">
        <v>35</v>
      </c>
      <c r="G34" s="3" t="s">
        <v>36</v>
      </c>
      <c r="H34" s="3"/>
      <c r="I34" s="3"/>
      <c r="J34" s="24" t="s">
        <v>393</v>
      </c>
      <c r="K34" s="3" t="s">
        <v>405</v>
      </c>
      <c r="L34" s="6">
        <v>2.0260926401691699E+29</v>
      </c>
      <c r="M34" s="20">
        <v>200</v>
      </c>
      <c r="O34" s="3"/>
      <c r="P34" s="3"/>
      <c r="Q34" s="3">
        <v>1</v>
      </c>
      <c r="R34" s="3"/>
      <c r="S34" s="3"/>
    </row>
    <row r="35" spans="1:19" ht="25" customHeight="1" x14ac:dyDescent="0.3">
      <c r="A35" s="3"/>
      <c r="B35" s="3" t="s">
        <v>456</v>
      </c>
      <c r="C35" s="3" t="s">
        <v>109</v>
      </c>
      <c r="D35" s="3" t="s">
        <v>329</v>
      </c>
      <c r="E35" s="3">
        <v>29</v>
      </c>
      <c r="F35" s="3" t="s">
        <v>35</v>
      </c>
      <c r="G35" s="3" t="s">
        <v>36</v>
      </c>
      <c r="H35" s="3"/>
      <c r="I35" s="3"/>
      <c r="J35" s="24" t="s">
        <v>453</v>
      </c>
      <c r="K35" s="3" t="s">
        <v>30</v>
      </c>
      <c r="L35" s="6">
        <v>85625389</v>
      </c>
      <c r="M35" s="20">
        <v>200</v>
      </c>
      <c r="O35" s="3"/>
      <c r="P35" s="3"/>
      <c r="Q35" s="3">
        <v>1</v>
      </c>
      <c r="R35" s="3"/>
      <c r="S35" s="3"/>
    </row>
    <row r="36" spans="1:19" ht="25" customHeight="1" x14ac:dyDescent="0.3">
      <c r="A36" s="3"/>
      <c r="B36" s="3" t="s">
        <v>462</v>
      </c>
      <c r="C36" s="3" t="s">
        <v>463</v>
      </c>
      <c r="D36" s="3" t="s">
        <v>464</v>
      </c>
      <c r="E36" s="3">
        <v>33</v>
      </c>
      <c r="F36" s="3" t="s">
        <v>35</v>
      </c>
      <c r="G36" s="3" t="s">
        <v>24</v>
      </c>
      <c r="H36" s="3"/>
      <c r="I36" s="3"/>
      <c r="J36" s="24" t="s">
        <v>453</v>
      </c>
      <c r="K36" s="3"/>
      <c r="L36" s="6">
        <v>38129325</v>
      </c>
      <c r="M36" s="20">
        <v>200</v>
      </c>
      <c r="O36" s="3"/>
      <c r="P36" s="3">
        <v>1</v>
      </c>
      <c r="Q36" s="3"/>
      <c r="R36" s="3"/>
      <c r="S36" s="3"/>
    </row>
    <row r="37" spans="1:19" ht="25" customHeight="1" x14ac:dyDescent="0.3">
      <c r="A37" s="3"/>
      <c r="B37" s="3" t="s">
        <v>468</v>
      </c>
      <c r="C37" s="3" t="s">
        <v>469</v>
      </c>
      <c r="D37" s="3" t="s">
        <v>470</v>
      </c>
      <c r="E37" s="3">
        <v>30</v>
      </c>
      <c r="F37" s="3" t="s">
        <v>35</v>
      </c>
      <c r="G37" s="3" t="s">
        <v>64</v>
      </c>
      <c r="H37" s="3"/>
      <c r="I37" s="3"/>
      <c r="J37" s="24" t="s">
        <v>471</v>
      </c>
      <c r="K37" s="3"/>
      <c r="L37" s="6"/>
      <c r="M37" s="20"/>
      <c r="O37" s="3"/>
      <c r="P37" s="3"/>
      <c r="Q37" s="3"/>
      <c r="R37" s="3">
        <v>1</v>
      </c>
      <c r="S37" s="3"/>
    </row>
    <row r="38" spans="1:19" ht="25" customHeight="1" x14ac:dyDescent="0.3">
      <c r="A38" s="3"/>
      <c r="B38" s="3" t="s">
        <v>472</v>
      </c>
      <c r="C38" s="3" t="s">
        <v>251</v>
      </c>
      <c r="D38" s="3" t="s">
        <v>473</v>
      </c>
      <c r="E38" s="3">
        <v>34</v>
      </c>
      <c r="F38" s="3" t="s">
        <v>35</v>
      </c>
      <c r="G38" s="3" t="s">
        <v>24</v>
      </c>
      <c r="H38" s="3"/>
      <c r="I38" s="3"/>
      <c r="J38" s="24" t="s">
        <v>475</v>
      </c>
      <c r="K38" s="3"/>
      <c r="L38" s="6"/>
      <c r="M38" s="20"/>
      <c r="O38" s="3"/>
      <c r="P38" s="3">
        <v>1</v>
      </c>
      <c r="Q38" s="3"/>
      <c r="R38" s="3"/>
      <c r="S38" s="3"/>
    </row>
    <row r="39" spans="1:19" ht="25" customHeight="1" x14ac:dyDescent="0.3">
      <c r="A39" s="3"/>
      <c r="B39" s="3" t="s">
        <v>476</v>
      </c>
      <c r="C39" s="3" t="s">
        <v>477</v>
      </c>
      <c r="D39" s="3" t="s">
        <v>478</v>
      </c>
      <c r="E39" s="3">
        <v>27</v>
      </c>
      <c r="F39" s="3" t="s">
        <v>35</v>
      </c>
      <c r="G39" s="3" t="s">
        <v>36</v>
      </c>
      <c r="H39" s="3"/>
      <c r="I39" s="3"/>
      <c r="J39" s="24" t="s">
        <v>479</v>
      </c>
      <c r="K39" s="3"/>
      <c r="L39" s="6"/>
      <c r="M39" s="20"/>
      <c r="O39" s="3"/>
      <c r="P39" s="3"/>
      <c r="Q39" s="3">
        <v>1</v>
      </c>
      <c r="R39" s="3"/>
      <c r="S39" s="3"/>
    </row>
    <row r="40" spans="1:19" ht="25" customHeight="1" x14ac:dyDescent="0.3">
      <c r="A40" s="3"/>
      <c r="B40" s="3" t="s">
        <v>482</v>
      </c>
      <c r="C40" s="3"/>
      <c r="D40" s="3"/>
      <c r="E40" s="3">
        <v>30</v>
      </c>
      <c r="F40" s="3" t="s">
        <v>35</v>
      </c>
      <c r="G40" s="3" t="s">
        <v>36</v>
      </c>
      <c r="H40" s="3"/>
      <c r="I40" s="3"/>
      <c r="J40" s="24" t="s">
        <v>483</v>
      </c>
      <c r="K40" s="3"/>
      <c r="L40" s="6"/>
      <c r="M40" s="20"/>
      <c r="O40" s="3"/>
      <c r="P40" s="3"/>
      <c r="Q40" s="3">
        <v>1</v>
      </c>
      <c r="R40" s="3"/>
      <c r="S40" s="3"/>
    </row>
    <row r="41" spans="1:19" ht="25" customHeight="1" x14ac:dyDescent="0.3">
      <c r="A41" s="3"/>
      <c r="B41" s="3" t="s">
        <v>486</v>
      </c>
      <c r="C41" s="3" t="s">
        <v>487</v>
      </c>
      <c r="D41" s="3" t="s">
        <v>227</v>
      </c>
      <c r="E41" s="3">
        <v>31</v>
      </c>
      <c r="F41" s="3" t="s">
        <v>35</v>
      </c>
      <c r="G41" s="3" t="s">
        <v>64</v>
      </c>
      <c r="H41" s="3"/>
      <c r="I41" s="3"/>
      <c r="J41" s="24" t="s">
        <v>488</v>
      </c>
      <c r="K41" s="3"/>
      <c r="L41" s="6"/>
      <c r="M41" s="20"/>
      <c r="O41" s="3"/>
      <c r="P41" s="3"/>
      <c r="Q41" s="3"/>
      <c r="R41" s="3">
        <v>1</v>
      </c>
      <c r="S41" s="3"/>
    </row>
    <row r="42" spans="1:19" ht="25" customHeight="1" x14ac:dyDescent="0.3">
      <c r="A42" s="3"/>
      <c r="B42" s="3" t="s">
        <v>497</v>
      </c>
      <c r="C42" s="3"/>
      <c r="D42" s="3"/>
      <c r="E42" s="3">
        <v>26</v>
      </c>
      <c r="F42" s="3" t="s">
        <v>35</v>
      </c>
      <c r="G42" s="3" t="s">
        <v>65</v>
      </c>
      <c r="H42" s="3"/>
      <c r="I42" s="3"/>
      <c r="J42" s="23" t="s">
        <v>491</v>
      </c>
      <c r="K42" s="3"/>
      <c r="L42" s="6"/>
      <c r="M42" s="20"/>
      <c r="O42" s="3"/>
      <c r="P42" s="3"/>
      <c r="Q42" s="3"/>
      <c r="R42" s="3"/>
      <c r="S42" s="3">
        <v>1</v>
      </c>
    </row>
    <row r="43" spans="1:19" ht="25" customHeight="1" x14ac:dyDescent="0.3">
      <c r="A43" s="3"/>
      <c r="B43" s="3" t="s">
        <v>504</v>
      </c>
      <c r="C43" s="3" t="s">
        <v>505</v>
      </c>
      <c r="D43" s="3" t="s">
        <v>244</v>
      </c>
      <c r="E43" s="3">
        <v>25</v>
      </c>
      <c r="F43" s="3" t="s">
        <v>35</v>
      </c>
      <c r="G43" s="3" t="s">
        <v>24</v>
      </c>
      <c r="H43" s="3"/>
      <c r="I43" s="3"/>
      <c r="J43" s="24" t="s">
        <v>501</v>
      </c>
      <c r="K43" s="3"/>
      <c r="L43" s="6"/>
      <c r="M43" s="20"/>
      <c r="O43" s="3"/>
      <c r="P43" s="3">
        <v>1</v>
      </c>
      <c r="Q43" s="3"/>
      <c r="R43" s="3"/>
      <c r="S43" s="3"/>
    </row>
    <row r="44" spans="1:19" ht="25" customHeight="1" x14ac:dyDescent="0.3">
      <c r="A44" s="3"/>
      <c r="B44" s="3" t="s">
        <v>530</v>
      </c>
      <c r="C44" s="3"/>
      <c r="D44" s="3"/>
      <c r="E44" s="3">
        <v>27</v>
      </c>
      <c r="F44" s="3" t="s">
        <v>35</v>
      </c>
      <c r="G44" s="3" t="s">
        <v>36</v>
      </c>
      <c r="H44" s="3"/>
      <c r="I44" s="3"/>
      <c r="J44" s="24" t="s">
        <v>531</v>
      </c>
      <c r="K44" s="3"/>
      <c r="L44" s="6"/>
      <c r="M44" s="20"/>
      <c r="O44" s="3"/>
      <c r="P44" s="3"/>
      <c r="Q44" s="3">
        <v>1</v>
      </c>
      <c r="R44" s="3"/>
      <c r="S44" s="3"/>
    </row>
    <row r="45" spans="1:19" ht="25" customHeight="1" x14ac:dyDescent="0.3">
      <c r="A45" s="3"/>
      <c r="B45" s="3" t="s">
        <v>534</v>
      </c>
      <c r="C45" s="3"/>
      <c r="D45" s="3"/>
      <c r="E45" s="3">
        <v>29</v>
      </c>
      <c r="F45" s="3" t="s">
        <v>35</v>
      </c>
      <c r="G45" s="3" t="s">
        <v>24</v>
      </c>
      <c r="H45" s="3"/>
      <c r="I45" s="3"/>
      <c r="J45" s="24" t="s">
        <v>535</v>
      </c>
      <c r="K45" s="3"/>
      <c r="L45" s="6"/>
      <c r="M45" s="20"/>
      <c r="O45" s="3"/>
      <c r="P45" s="3">
        <v>1</v>
      </c>
      <c r="Q45" s="3"/>
      <c r="R45" s="3"/>
      <c r="S45" s="3"/>
    </row>
    <row r="46" spans="1:19" ht="25" customHeight="1" x14ac:dyDescent="0.3">
      <c r="A46" s="3"/>
      <c r="B46" s="3" t="s">
        <v>536</v>
      </c>
      <c r="C46" s="3"/>
      <c r="D46" s="3"/>
      <c r="E46" s="3">
        <v>30</v>
      </c>
      <c r="F46" s="3"/>
      <c r="G46" s="3" t="s">
        <v>24</v>
      </c>
      <c r="H46" s="3"/>
      <c r="I46" s="3"/>
      <c r="J46" s="24" t="s">
        <v>537</v>
      </c>
      <c r="K46" s="3"/>
      <c r="L46" s="6"/>
      <c r="M46" s="20"/>
      <c r="O46" s="3"/>
      <c r="P46" s="3">
        <v>1</v>
      </c>
      <c r="Q46" s="3"/>
      <c r="R46" s="3"/>
      <c r="S46" s="3"/>
    </row>
    <row r="47" spans="1:19" ht="25" customHeight="1" x14ac:dyDescent="0.3">
      <c r="A47" s="3"/>
      <c r="B47" s="3" t="s">
        <v>588</v>
      </c>
      <c r="C47" s="3" t="s">
        <v>436</v>
      </c>
      <c r="D47" s="3" t="s">
        <v>589</v>
      </c>
      <c r="E47" s="3">
        <v>35</v>
      </c>
      <c r="F47" s="3" t="s">
        <v>35</v>
      </c>
      <c r="G47" s="3" t="s">
        <v>64</v>
      </c>
      <c r="H47" s="3"/>
      <c r="I47" s="3"/>
      <c r="J47" s="24" t="s">
        <v>585</v>
      </c>
      <c r="K47" s="3" t="s">
        <v>447</v>
      </c>
      <c r="L47" s="6"/>
      <c r="M47" s="20">
        <v>600</v>
      </c>
      <c r="O47" s="3"/>
      <c r="P47" s="3"/>
      <c r="Q47" s="3"/>
      <c r="R47" s="3">
        <v>1</v>
      </c>
      <c r="S47" s="3"/>
    </row>
    <row r="48" spans="1:19" ht="25" customHeight="1" x14ac:dyDescent="0.3">
      <c r="A48" s="3"/>
      <c r="B48" s="3" t="s">
        <v>562</v>
      </c>
      <c r="C48" s="3" t="s">
        <v>111</v>
      </c>
      <c r="D48" s="3" t="s">
        <v>332</v>
      </c>
      <c r="E48" s="3">
        <v>28</v>
      </c>
      <c r="F48" s="3" t="s">
        <v>35</v>
      </c>
      <c r="G48" s="3" t="s">
        <v>36</v>
      </c>
      <c r="H48" s="3"/>
      <c r="I48" s="3"/>
      <c r="J48" s="24" t="s">
        <v>601</v>
      </c>
      <c r="K48" s="3" t="s">
        <v>447</v>
      </c>
      <c r="L48" s="3" t="s">
        <v>602</v>
      </c>
      <c r="M48" s="20">
        <v>1200</v>
      </c>
      <c r="O48" s="3"/>
      <c r="P48" s="3"/>
      <c r="Q48" s="3">
        <v>1</v>
      </c>
      <c r="R48" s="3"/>
      <c r="S48" s="3"/>
    </row>
    <row r="49" spans="1:19" ht="25" customHeight="1" x14ac:dyDescent="0.3">
      <c r="A49" s="3"/>
      <c r="B49" s="3" t="s">
        <v>394</v>
      </c>
      <c r="C49" s="3" t="s">
        <v>605</v>
      </c>
      <c r="D49" s="3" t="s">
        <v>606</v>
      </c>
      <c r="E49" s="3">
        <v>29</v>
      </c>
      <c r="F49" s="3" t="s">
        <v>35</v>
      </c>
      <c r="G49" s="3" t="s">
        <v>24</v>
      </c>
      <c r="H49" s="3"/>
      <c r="I49" s="3"/>
      <c r="J49" s="24" t="s">
        <v>601</v>
      </c>
      <c r="K49" s="3" t="s">
        <v>447</v>
      </c>
      <c r="L49" s="3" t="s">
        <v>602</v>
      </c>
      <c r="M49" s="20">
        <v>1200</v>
      </c>
      <c r="O49" s="3"/>
      <c r="P49" s="3">
        <v>1</v>
      </c>
      <c r="Q49" s="3"/>
      <c r="R49" s="3"/>
      <c r="S49" s="3"/>
    </row>
    <row r="50" spans="1:19" ht="25" customHeight="1" x14ac:dyDescent="0.3">
      <c r="A50" s="3"/>
      <c r="B50" s="3" t="s">
        <v>616</v>
      </c>
      <c r="C50" s="3" t="s">
        <v>617</v>
      </c>
      <c r="D50" s="3" t="s">
        <v>411</v>
      </c>
      <c r="E50" s="3">
        <v>27</v>
      </c>
      <c r="F50" s="3" t="s">
        <v>35</v>
      </c>
      <c r="G50" s="3" t="s">
        <v>461</v>
      </c>
      <c r="H50" s="3"/>
      <c r="I50" s="3"/>
      <c r="J50" s="24" t="s">
        <v>531</v>
      </c>
      <c r="K50" s="3" t="s">
        <v>30</v>
      </c>
      <c r="L50" s="3">
        <v>97681258</v>
      </c>
      <c r="M50" s="20">
        <v>200</v>
      </c>
      <c r="O50" s="3">
        <v>1</v>
      </c>
      <c r="P50" s="3"/>
      <c r="Q50" s="3"/>
      <c r="R50" s="3"/>
      <c r="S50" s="3"/>
    </row>
    <row r="51" spans="1:19" ht="25" customHeight="1" x14ac:dyDescent="0.3">
      <c r="A51" s="3"/>
      <c r="B51" s="3" t="s">
        <v>626</v>
      </c>
      <c r="C51" s="3" t="s">
        <v>427</v>
      </c>
      <c r="D51" s="3" t="s">
        <v>627</v>
      </c>
      <c r="E51" s="3">
        <v>27</v>
      </c>
      <c r="F51" s="3" t="s">
        <v>35</v>
      </c>
      <c r="G51" s="3" t="s">
        <v>24</v>
      </c>
      <c r="H51" s="3"/>
      <c r="I51" s="3"/>
      <c r="J51" s="24" t="s">
        <v>628</v>
      </c>
      <c r="K51" s="3" t="s">
        <v>30</v>
      </c>
      <c r="L51" s="3">
        <v>58746899</v>
      </c>
      <c r="M51" s="20">
        <v>200</v>
      </c>
      <c r="O51" s="3"/>
      <c r="P51" s="3">
        <v>1</v>
      </c>
      <c r="Q51" s="3"/>
      <c r="R51" s="3"/>
      <c r="S51" s="3"/>
    </row>
    <row r="52" spans="1:19" ht="25" customHeight="1" x14ac:dyDescent="0.3">
      <c r="A52" s="3"/>
      <c r="B52" s="3" t="s">
        <v>633</v>
      </c>
      <c r="C52" s="3" t="s">
        <v>559</v>
      </c>
      <c r="D52" s="3" t="s">
        <v>634</v>
      </c>
      <c r="E52" s="3">
        <v>27</v>
      </c>
      <c r="F52" s="3" t="s">
        <v>35</v>
      </c>
      <c r="G52" s="3" t="s">
        <v>36</v>
      </c>
      <c r="H52" s="3"/>
      <c r="I52" s="3"/>
      <c r="J52" s="24" t="s">
        <v>406</v>
      </c>
      <c r="K52" s="3" t="s">
        <v>30</v>
      </c>
      <c r="L52" s="3">
        <v>62049129</v>
      </c>
      <c r="M52" s="20">
        <v>200</v>
      </c>
      <c r="O52" s="3"/>
      <c r="P52" s="3"/>
      <c r="Q52" s="3">
        <v>1</v>
      </c>
      <c r="R52" s="3"/>
      <c r="S52" s="3"/>
    </row>
    <row r="53" spans="1:19" ht="25" customHeight="1" x14ac:dyDescent="0.3">
      <c r="A53" s="3"/>
      <c r="B53" s="3" t="s">
        <v>712</v>
      </c>
      <c r="C53" s="3" t="s">
        <v>713</v>
      </c>
      <c r="D53" s="3" t="s">
        <v>714</v>
      </c>
      <c r="E53" s="3">
        <v>27</v>
      </c>
      <c r="F53" s="3" t="s">
        <v>35</v>
      </c>
      <c r="G53" s="3" t="s">
        <v>24</v>
      </c>
      <c r="H53" s="3"/>
      <c r="I53" s="3"/>
      <c r="J53" s="3" t="s">
        <v>738</v>
      </c>
      <c r="K53" s="3"/>
      <c r="L53" s="3"/>
      <c r="M53" s="20"/>
      <c r="O53" s="3"/>
      <c r="P53" s="3">
        <v>1</v>
      </c>
      <c r="Q53" s="3"/>
      <c r="R53" s="3"/>
      <c r="S53" s="3"/>
    </row>
    <row r="54" spans="1:19" ht="25" customHeight="1" x14ac:dyDescent="0.3">
      <c r="A54" s="3"/>
      <c r="B54" s="3" t="s">
        <v>715</v>
      </c>
      <c r="C54" s="3" t="s">
        <v>716</v>
      </c>
      <c r="D54" s="3" t="s">
        <v>717</v>
      </c>
      <c r="E54" s="3">
        <v>27</v>
      </c>
      <c r="F54" s="3" t="s">
        <v>35</v>
      </c>
      <c r="G54" s="3" t="s">
        <v>36</v>
      </c>
      <c r="H54" s="3"/>
      <c r="I54" s="3"/>
      <c r="J54" s="3"/>
      <c r="K54" s="3"/>
      <c r="L54" s="6"/>
      <c r="M54" s="20"/>
      <c r="O54" s="3"/>
      <c r="P54" s="3"/>
      <c r="Q54" s="3">
        <v>1</v>
      </c>
      <c r="R54" s="3"/>
      <c r="S54" s="3"/>
    </row>
    <row r="55" spans="1:19" ht="25" customHeight="1" x14ac:dyDescent="0.3">
      <c r="A55" s="3"/>
      <c r="B55" s="3" t="s">
        <v>718</v>
      </c>
      <c r="C55" s="3" t="s">
        <v>719</v>
      </c>
      <c r="D55" s="3" t="s">
        <v>720</v>
      </c>
      <c r="E55" s="3">
        <v>28</v>
      </c>
      <c r="F55" s="3" t="s">
        <v>35</v>
      </c>
      <c r="G55" s="3" t="s">
        <v>65</v>
      </c>
      <c r="H55" s="3"/>
      <c r="I55" s="3"/>
      <c r="J55" s="3" t="s">
        <v>692</v>
      </c>
      <c r="K55" s="3"/>
      <c r="L55" s="6"/>
      <c r="M55" s="20"/>
      <c r="O55" s="3"/>
      <c r="P55" s="3"/>
      <c r="Q55" s="3"/>
      <c r="R55" s="3"/>
      <c r="S55" s="3">
        <v>1</v>
      </c>
    </row>
    <row r="56" spans="1:19" ht="25" customHeight="1" x14ac:dyDescent="0.3">
      <c r="A56" s="3"/>
      <c r="B56" s="3" t="s">
        <v>721</v>
      </c>
      <c r="C56" s="3" t="s">
        <v>722</v>
      </c>
      <c r="D56" s="3" t="s">
        <v>723</v>
      </c>
      <c r="E56" s="3">
        <v>23</v>
      </c>
      <c r="F56" s="3" t="s">
        <v>35</v>
      </c>
      <c r="G56" s="3" t="s">
        <v>24</v>
      </c>
      <c r="H56" s="3"/>
      <c r="I56" s="3"/>
      <c r="J56" s="3" t="s">
        <v>692</v>
      </c>
      <c r="K56" s="3"/>
      <c r="L56" s="6"/>
      <c r="M56" s="20"/>
      <c r="O56" s="3"/>
      <c r="P56" s="3">
        <v>1</v>
      </c>
      <c r="Q56" s="3"/>
      <c r="R56" s="3"/>
      <c r="S56" s="3"/>
    </row>
    <row r="57" spans="1:19" ht="25" customHeight="1" x14ac:dyDescent="0.3">
      <c r="A57" s="3"/>
      <c r="B57" s="3" t="s">
        <v>724</v>
      </c>
      <c r="C57" s="3" t="s">
        <v>719</v>
      </c>
      <c r="D57" s="3" t="s">
        <v>720</v>
      </c>
      <c r="E57" s="3">
        <v>28</v>
      </c>
      <c r="F57" s="3" t="s">
        <v>35</v>
      </c>
      <c r="G57" s="3" t="s">
        <v>65</v>
      </c>
      <c r="H57" s="3"/>
      <c r="I57" s="3"/>
      <c r="J57" s="3" t="s">
        <v>692</v>
      </c>
      <c r="K57" s="3"/>
      <c r="L57" s="6"/>
      <c r="M57" s="20"/>
      <c r="O57" s="3"/>
      <c r="P57" s="3"/>
      <c r="Q57" s="3"/>
      <c r="R57" s="3"/>
      <c r="S57" s="3">
        <v>1</v>
      </c>
    </row>
    <row r="58" spans="1:19" ht="25" customHeight="1" x14ac:dyDescent="0.3">
      <c r="A58" s="3"/>
      <c r="B58" s="3" t="s">
        <v>725</v>
      </c>
      <c r="C58" s="3" t="s">
        <v>357</v>
      </c>
      <c r="D58" s="3" t="s">
        <v>411</v>
      </c>
      <c r="E58" s="3">
        <v>22</v>
      </c>
      <c r="F58" s="3" t="s">
        <v>35</v>
      </c>
      <c r="G58" s="3" t="s">
        <v>24</v>
      </c>
      <c r="H58" s="3"/>
      <c r="I58" s="3"/>
      <c r="J58" s="3" t="s">
        <v>739</v>
      </c>
      <c r="K58" s="3"/>
      <c r="L58" s="6"/>
      <c r="M58" s="20"/>
      <c r="O58" s="3"/>
      <c r="P58" s="3">
        <v>1</v>
      </c>
      <c r="Q58" s="3"/>
      <c r="R58" s="3"/>
      <c r="S58" s="3"/>
    </row>
    <row r="59" spans="1:19" ht="25" customHeight="1" x14ac:dyDescent="0.3">
      <c r="A59" s="3"/>
      <c r="B59" s="3" t="s">
        <v>726</v>
      </c>
      <c r="C59" s="3" t="s">
        <v>727</v>
      </c>
      <c r="D59" s="3" t="s">
        <v>728</v>
      </c>
      <c r="E59" s="3">
        <v>31</v>
      </c>
      <c r="F59" s="3" t="s">
        <v>35</v>
      </c>
      <c r="G59" s="3" t="s">
        <v>24</v>
      </c>
      <c r="H59" s="3"/>
      <c r="I59" s="3"/>
      <c r="J59" s="3" t="s">
        <v>509</v>
      </c>
      <c r="K59" s="3"/>
      <c r="L59" s="6"/>
      <c r="M59" s="20"/>
      <c r="O59" s="3"/>
      <c r="P59" s="3">
        <v>1</v>
      </c>
      <c r="Q59" s="3"/>
      <c r="R59" s="3"/>
      <c r="S59" s="3"/>
    </row>
    <row r="60" spans="1:19" ht="25" customHeight="1" x14ac:dyDescent="0.3">
      <c r="A60" s="3"/>
      <c r="B60" s="3" t="s">
        <v>729</v>
      </c>
      <c r="C60" s="3" t="s">
        <v>730</v>
      </c>
      <c r="D60" s="3" t="s">
        <v>731</v>
      </c>
      <c r="E60" s="3">
        <v>26</v>
      </c>
      <c r="F60" s="3" t="s">
        <v>35</v>
      </c>
      <c r="G60" s="3" t="s">
        <v>36</v>
      </c>
      <c r="H60" s="3"/>
      <c r="I60" s="3"/>
      <c r="J60" s="3" t="s">
        <v>696</v>
      </c>
      <c r="K60" s="3"/>
      <c r="L60" s="6"/>
      <c r="M60" s="20"/>
      <c r="O60" s="3"/>
      <c r="P60" s="3"/>
      <c r="Q60" s="3">
        <v>1</v>
      </c>
      <c r="R60" s="3"/>
      <c r="S60" s="3"/>
    </row>
    <row r="61" spans="1:19" ht="25" customHeight="1" x14ac:dyDescent="0.3">
      <c r="A61" s="3"/>
      <c r="B61" s="3" t="s">
        <v>556</v>
      </c>
      <c r="C61" s="3" t="s">
        <v>126</v>
      </c>
      <c r="D61" s="3" t="s">
        <v>522</v>
      </c>
      <c r="E61" s="3">
        <v>25</v>
      </c>
      <c r="F61" s="3" t="s">
        <v>35</v>
      </c>
      <c r="G61" s="3" t="s">
        <v>64</v>
      </c>
      <c r="H61" s="3"/>
      <c r="I61" s="3"/>
      <c r="J61" s="3" t="s">
        <v>696</v>
      </c>
      <c r="K61" s="3"/>
      <c r="L61" s="6"/>
      <c r="M61" s="20"/>
      <c r="O61" s="3"/>
      <c r="P61" s="3"/>
      <c r="Q61" s="3"/>
      <c r="R61" s="3">
        <v>1</v>
      </c>
      <c r="S61" s="3"/>
    </row>
    <row r="62" spans="1:19" ht="25" customHeight="1" x14ac:dyDescent="0.3">
      <c r="A62" s="3"/>
      <c r="B62" s="3" t="s">
        <v>732</v>
      </c>
      <c r="C62" s="3" t="s">
        <v>166</v>
      </c>
      <c r="D62" s="3" t="s">
        <v>143</v>
      </c>
      <c r="E62" s="3">
        <v>26</v>
      </c>
      <c r="F62" s="3" t="s">
        <v>35</v>
      </c>
      <c r="G62" s="3" t="s">
        <v>64</v>
      </c>
      <c r="H62" s="3"/>
      <c r="I62" s="3"/>
      <c r="J62" s="3" t="s">
        <v>696</v>
      </c>
      <c r="K62" s="3"/>
      <c r="L62" s="6"/>
      <c r="M62" s="20"/>
      <c r="O62" s="3"/>
      <c r="P62" s="3"/>
      <c r="Q62" s="3"/>
      <c r="R62" s="3">
        <v>1</v>
      </c>
      <c r="S62" s="3"/>
    </row>
    <row r="63" spans="1:19" ht="25" customHeight="1" x14ac:dyDescent="0.3">
      <c r="A63" s="3"/>
      <c r="B63" s="3" t="s">
        <v>733</v>
      </c>
      <c r="C63" s="3" t="s">
        <v>558</v>
      </c>
      <c r="D63" s="3" t="s">
        <v>734</v>
      </c>
      <c r="E63" s="3">
        <v>24</v>
      </c>
      <c r="F63" s="3" t="s">
        <v>35</v>
      </c>
      <c r="G63" s="3" t="s">
        <v>64</v>
      </c>
      <c r="H63" s="3"/>
      <c r="I63" s="3"/>
      <c r="J63" s="3" t="s">
        <v>696</v>
      </c>
      <c r="K63" s="3"/>
      <c r="L63" s="6"/>
      <c r="M63" s="20"/>
      <c r="O63" s="3"/>
      <c r="P63" s="3"/>
      <c r="Q63" s="3"/>
      <c r="R63" s="3">
        <v>1</v>
      </c>
      <c r="S63" s="3"/>
    </row>
    <row r="64" spans="1:19" ht="25" customHeight="1" x14ac:dyDescent="0.3">
      <c r="A64" s="3"/>
      <c r="B64" s="3" t="s">
        <v>735</v>
      </c>
      <c r="C64" s="3" t="s">
        <v>684</v>
      </c>
      <c r="D64" s="3" t="s">
        <v>736</v>
      </c>
      <c r="E64" s="3">
        <v>22</v>
      </c>
      <c r="F64" s="3" t="s">
        <v>35</v>
      </c>
      <c r="G64" s="3" t="s">
        <v>64</v>
      </c>
      <c r="H64" s="3"/>
      <c r="I64" s="3"/>
      <c r="J64" s="3" t="s">
        <v>696</v>
      </c>
      <c r="K64" s="3"/>
      <c r="L64" s="6"/>
      <c r="M64" s="20"/>
      <c r="O64" s="3"/>
      <c r="P64" s="3"/>
      <c r="Q64" s="3"/>
      <c r="R64" s="3">
        <v>1</v>
      </c>
      <c r="S64" s="3"/>
    </row>
    <row r="65" spans="1:19" ht="25" customHeight="1" x14ac:dyDescent="0.3">
      <c r="A65" s="3"/>
      <c r="B65" s="3" t="s">
        <v>737</v>
      </c>
      <c r="C65" s="3" t="s">
        <v>235</v>
      </c>
      <c r="D65" s="3" t="s">
        <v>348</v>
      </c>
      <c r="E65" s="3">
        <v>31</v>
      </c>
      <c r="F65" s="3" t="s">
        <v>35</v>
      </c>
      <c r="G65" s="3" t="s">
        <v>36</v>
      </c>
      <c r="H65" s="3"/>
      <c r="I65" s="3"/>
      <c r="J65" s="3" t="s">
        <v>696</v>
      </c>
      <c r="K65" s="3"/>
      <c r="L65" s="6"/>
      <c r="M65" s="20"/>
      <c r="O65" s="3"/>
      <c r="P65" s="3"/>
      <c r="Q65" s="3">
        <v>1</v>
      </c>
      <c r="R65" s="3"/>
      <c r="S65" s="3"/>
    </row>
    <row r="66" spans="1:19" ht="25" customHeight="1" x14ac:dyDescent="0.3">
      <c r="A66" s="3"/>
      <c r="B66" s="3" t="s">
        <v>779</v>
      </c>
      <c r="C66" s="3" t="s">
        <v>780</v>
      </c>
      <c r="D66" s="3" t="s">
        <v>781</v>
      </c>
      <c r="E66" s="3">
        <v>30</v>
      </c>
      <c r="F66" s="3" t="s">
        <v>35</v>
      </c>
      <c r="G66" s="3" t="s">
        <v>36</v>
      </c>
      <c r="H66" s="3"/>
      <c r="I66" s="3"/>
      <c r="J66" s="3" t="s">
        <v>415</v>
      </c>
      <c r="K66" s="3"/>
      <c r="L66" s="6"/>
      <c r="M66" s="20"/>
      <c r="O66" s="3"/>
      <c r="P66" s="3"/>
      <c r="Q66" s="3">
        <v>1</v>
      </c>
      <c r="R66" s="3"/>
      <c r="S66" s="3"/>
    </row>
    <row r="67" spans="1:19" ht="25" customHeight="1" x14ac:dyDescent="0.3">
      <c r="A67" s="3"/>
      <c r="B67" s="3" t="s">
        <v>782</v>
      </c>
      <c r="C67" s="3" t="s">
        <v>558</v>
      </c>
      <c r="D67" s="3" t="s">
        <v>783</v>
      </c>
      <c r="E67" s="3">
        <v>27</v>
      </c>
      <c r="F67" s="3" t="s">
        <v>35</v>
      </c>
      <c r="G67" s="3" t="s">
        <v>24</v>
      </c>
      <c r="H67" s="3"/>
      <c r="I67" s="3"/>
      <c r="J67" s="3" t="s">
        <v>778</v>
      </c>
      <c r="K67" s="3"/>
      <c r="L67" s="6"/>
      <c r="M67" s="20"/>
      <c r="O67" s="3"/>
      <c r="P67" s="3">
        <v>1</v>
      </c>
      <c r="Q67" s="3"/>
      <c r="R67" s="3"/>
      <c r="S67" s="3"/>
    </row>
    <row r="68" spans="1:19" ht="25" customHeight="1" x14ac:dyDescent="0.3">
      <c r="A68" s="3"/>
      <c r="B68" s="3" t="s">
        <v>797</v>
      </c>
      <c r="C68" s="3" t="s">
        <v>798</v>
      </c>
      <c r="D68" s="3" t="s">
        <v>799</v>
      </c>
      <c r="E68" s="3">
        <v>25</v>
      </c>
      <c r="F68" s="3" t="s">
        <v>35</v>
      </c>
      <c r="G68" s="3" t="s">
        <v>36</v>
      </c>
      <c r="H68" s="3"/>
      <c r="I68" s="3"/>
      <c r="J68" s="24" t="s">
        <v>800</v>
      </c>
      <c r="K68" s="3"/>
      <c r="L68" s="6"/>
      <c r="M68" s="20"/>
      <c r="O68" s="3"/>
      <c r="P68" s="3"/>
      <c r="Q68" s="3">
        <v>1</v>
      </c>
      <c r="R68" s="3"/>
      <c r="S68" s="3"/>
    </row>
    <row r="69" spans="1:19" ht="25" customHeight="1" x14ac:dyDescent="0.3">
      <c r="A69" s="3"/>
      <c r="B69" s="3" t="s">
        <v>801</v>
      </c>
      <c r="C69" s="3" t="s">
        <v>711</v>
      </c>
      <c r="D69" s="3" t="s">
        <v>802</v>
      </c>
      <c r="E69" s="3">
        <v>26</v>
      </c>
      <c r="F69" s="3" t="s">
        <v>35</v>
      </c>
      <c r="G69" s="3" t="s">
        <v>36</v>
      </c>
      <c r="H69" s="3"/>
      <c r="I69" s="3"/>
      <c r="J69" s="24"/>
      <c r="K69" s="3"/>
      <c r="L69" s="6"/>
      <c r="M69" s="20"/>
      <c r="O69" s="3"/>
      <c r="P69" s="3"/>
      <c r="Q69" s="3">
        <v>1</v>
      </c>
      <c r="R69" s="3"/>
      <c r="S69" s="3"/>
    </row>
    <row r="70" spans="1:19" ht="15.5" x14ac:dyDescent="0.3">
      <c r="A70" s="3"/>
      <c r="B70" s="3" t="s">
        <v>791</v>
      </c>
      <c r="C70" s="3" t="s">
        <v>792</v>
      </c>
      <c r="D70" s="3" t="s">
        <v>251</v>
      </c>
      <c r="E70" s="3">
        <v>35</v>
      </c>
      <c r="F70" s="3" t="s">
        <v>35</v>
      </c>
      <c r="G70" s="3" t="s">
        <v>36</v>
      </c>
      <c r="H70" s="3"/>
      <c r="I70" s="3"/>
      <c r="J70" s="3" t="s">
        <v>793</v>
      </c>
      <c r="K70" s="3"/>
      <c r="L70" s="6"/>
      <c r="M70" s="20"/>
      <c r="O70" s="3"/>
      <c r="P70" s="3"/>
      <c r="Q70" s="3">
        <v>1</v>
      </c>
      <c r="R70" s="3"/>
      <c r="S70" s="3"/>
    </row>
    <row r="71" spans="1:19" ht="25" customHeight="1" x14ac:dyDescent="0.3">
      <c r="A71" s="3"/>
      <c r="B71" s="3" t="s">
        <v>158</v>
      </c>
      <c r="C71" s="3" t="s">
        <v>974</v>
      </c>
      <c r="D71" s="3" t="s">
        <v>975</v>
      </c>
      <c r="E71" s="3">
        <v>35</v>
      </c>
      <c r="F71" s="3" t="s">
        <v>35</v>
      </c>
      <c r="G71" s="3" t="s">
        <v>24</v>
      </c>
      <c r="H71" s="3"/>
      <c r="I71" s="3"/>
      <c r="J71" s="24" t="s">
        <v>976</v>
      </c>
      <c r="K71" s="3"/>
      <c r="L71" s="6"/>
      <c r="M71" s="20"/>
      <c r="O71" s="3"/>
      <c r="P71" s="3">
        <v>1</v>
      </c>
      <c r="Q71" s="3"/>
      <c r="R71" s="3"/>
      <c r="S71" s="3"/>
    </row>
    <row r="72" spans="1:19" ht="25" customHeight="1" x14ac:dyDescent="0.3">
      <c r="A72" s="3"/>
      <c r="B72" s="3" t="s">
        <v>1024</v>
      </c>
      <c r="C72" s="3" t="s">
        <v>760</v>
      </c>
      <c r="D72" s="3" t="s">
        <v>1025</v>
      </c>
      <c r="E72" s="3">
        <v>29</v>
      </c>
      <c r="F72" s="3"/>
      <c r="G72" s="3" t="s">
        <v>24</v>
      </c>
      <c r="H72" s="3"/>
      <c r="I72" s="3"/>
      <c r="J72" s="24" t="s">
        <v>1026</v>
      </c>
      <c r="K72" s="3"/>
      <c r="L72" s="6"/>
      <c r="M72" s="20"/>
      <c r="O72" s="3"/>
      <c r="P72" s="3">
        <v>1</v>
      </c>
      <c r="Q72" s="3"/>
      <c r="R72" s="3"/>
      <c r="S72" s="3"/>
    </row>
    <row r="73" spans="1:19" ht="25" customHeight="1" x14ac:dyDescent="0.3">
      <c r="A73" s="3"/>
      <c r="B73" s="3" t="s">
        <v>1037</v>
      </c>
      <c r="C73" s="3" t="s">
        <v>1038</v>
      </c>
      <c r="D73" s="3" t="s">
        <v>1039</v>
      </c>
      <c r="E73" s="3">
        <v>23</v>
      </c>
      <c r="F73" s="3"/>
      <c r="G73" s="3" t="s">
        <v>36</v>
      </c>
      <c r="H73" s="3"/>
      <c r="I73" s="3"/>
      <c r="J73" s="24" t="s">
        <v>1040</v>
      </c>
      <c r="K73" s="3"/>
      <c r="L73" s="6"/>
      <c r="M73" s="20"/>
      <c r="O73" s="3"/>
      <c r="P73" s="3"/>
      <c r="Q73" s="3">
        <v>1</v>
      </c>
      <c r="R73" s="3"/>
      <c r="S73" s="3"/>
    </row>
    <row r="74" spans="1:19" ht="25" customHeight="1" x14ac:dyDescent="0.3">
      <c r="A74" s="3"/>
      <c r="B74" s="3" t="s">
        <v>1054</v>
      </c>
      <c r="C74" s="3" t="s">
        <v>1055</v>
      </c>
      <c r="D74" s="3" t="s">
        <v>1056</v>
      </c>
      <c r="E74" s="3">
        <v>30</v>
      </c>
      <c r="F74" s="3"/>
      <c r="G74" s="3" t="s">
        <v>36</v>
      </c>
      <c r="H74" s="3"/>
      <c r="I74" s="3"/>
      <c r="J74" s="24" t="s">
        <v>1057</v>
      </c>
      <c r="K74" s="3"/>
      <c r="L74" s="6"/>
      <c r="M74" s="20"/>
      <c r="O74" s="3"/>
      <c r="P74" s="3"/>
      <c r="Q74" s="3">
        <v>1</v>
      </c>
      <c r="R74" s="3"/>
      <c r="S74" s="3"/>
    </row>
    <row r="75" spans="1:19" ht="25" customHeight="1" x14ac:dyDescent="0.3">
      <c r="A75" s="3"/>
      <c r="B75" s="3" t="s">
        <v>813</v>
      </c>
      <c r="C75" s="3" t="s">
        <v>814</v>
      </c>
      <c r="D75" s="3" t="s">
        <v>815</v>
      </c>
      <c r="E75" s="3">
        <v>27</v>
      </c>
      <c r="F75" s="3" t="s">
        <v>35</v>
      </c>
      <c r="G75" s="3" t="s">
        <v>36</v>
      </c>
      <c r="H75" s="3"/>
      <c r="I75" s="3"/>
      <c r="J75" s="24" t="s">
        <v>816</v>
      </c>
      <c r="K75" s="3"/>
      <c r="L75" s="6"/>
      <c r="M75" s="20"/>
      <c r="O75" s="3"/>
      <c r="P75" s="3"/>
      <c r="Q75" s="3">
        <v>1</v>
      </c>
      <c r="R75" s="3"/>
      <c r="S75" s="3"/>
    </row>
    <row r="76" spans="1:19" ht="25" customHeight="1" x14ac:dyDescent="0.3">
      <c r="A76" s="3"/>
      <c r="B76" s="3" t="s">
        <v>827</v>
      </c>
      <c r="C76" s="3" t="s">
        <v>228</v>
      </c>
      <c r="D76" s="3" t="s">
        <v>828</v>
      </c>
      <c r="E76" s="3">
        <v>27</v>
      </c>
      <c r="F76" s="3" t="s">
        <v>35</v>
      </c>
      <c r="G76" s="3" t="s">
        <v>24</v>
      </c>
      <c r="H76" s="3"/>
      <c r="I76" s="3"/>
      <c r="J76" s="24" t="s">
        <v>829</v>
      </c>
      <c r="K76" s="3"/>
      <c r="L76" s="6"/>
      <c r="M76" s="20"/>
      <c r="O76" s="3"/>
      <c r="P76" s="3">
        <v>1</v>
      </c>
      <c r="Q76" s="3"/>
      <c r="R76" s="3"/>
      <c r="S76" s="3"/>
    </row>
    <row r="77" spans="1:19" ht="15.5" x14ac:dyDescent="0.3">
      <c r="A77" s="3"/>
      <c r="B77" s="3" t="s">
        <v>872</v>
      </c>
      <c r="C77" s="3" t="s">
        <v>599</v>
      </c>
      <c r="D77" s="3" t="s">
        <v>873</v>
      </c>
      <c r="E77" s="3">
        <v>29</v>
      </c>
      <c r="F77" s="3" t="s">
        <v>35</v>
      </c>
      <c r="G77" s="3" t="s">
        <v>24</v>
      </c>
      <c r="H77" s="3"/>
      <c r="I77" s="3"/>
      <c r="J77" s="23" t="s">
        <v>451</v>
      </c>
      <c r="K77" s="3"/>
      <c r="L77" s="6"/>
      <c r="M77" s="20"/>
      <c r="O77" s="3"/>
      <c r="P77" s="3">
        <v>1</v>
      </c>
      <c r="Q77" s="3"/>
      <c r="R77" s="3"/>
      <c r="S77" s="3"/>
    </row>
    <row r="78" spans="1:19" ht="25" customHeight="1" x14ac:dyDescent="0.3">
      <c r="A78" s="3"/>
      <c r="B78" s="3" t="s">
        <v>849</v>
      </c>
      <c r="C78" s="3" t="s">
        <v>850</v>
      </c>
      <c r="D78" s="3" t="s">
        <v>88</v>
      </c>
      <c r="E78" s="3">
        <v>28</v>
      </c>
      <c r="F78" s="3" t="s">
        <v>35</v>
      </c>
      <c r="G78" s="3" t="s">
        <v>64</v>
      </c>
      <c r="H78" s="3"/>
      <c r="I78" s="3"/>
      <c r="J78" s="24" t="s">
        <v>851</v>
      </c>
      <c r="K78" s="3"/>
      <c r="L78" s="6"/>
      <c r="M78" s="20"/>
      <c r="O78" s="3"/>
      <c r="P78" s="3"/>
      <c r="Q78" s="3"/>
      <c r="R78" s="3">
        <v>1</v>
      </c>
      <c r="S78" s="3"/>
    </row>
    <row r="79" spans="1:19" ht="25" customHeight="1" x14ac:dyDescent="0.3">
      <c r="A79" s="3"/>
      <c r="B79" s="3" t="s">
        <v>855</v>
      </c>
      <c r="C79" s="3" t="s">
        <v>856</v>
      </c>
      <c r="D79" s="3" t="s">
        <v>857</v>
      </c>
      <c r="E79" s="3">
        <v>27</v>
      </c>
      <c r="F79" s="3" t="s">
        <v>35</v>
      </c>
      <c r="G79" s="3" t="s">
        <v>24</v>
      </c>
      <c r="H79" s="3"/>
      <c r="I79" s="3"/>
      <c r="J79" s="24" t="s">
        <v>836</v>
      </c>
      <c r="K79" s="3"/>
      <c r="L79" s="6"/>
      <c r="M79" s="20"/>
      <c r="O79" s="3"/>
      <c r="P79" s="3">
        <v>1</v>
      </c>
      <c r="Q79" s="3"/>
      <c r="R79" s="3"/>
      <c r="S79" s="3"/>
    </row>
    <row r="80" spans="1:19" ht="25" customHeight="1" x14ac:dyDescent="0.3">
      <c r="A80" s="3"/>
      <c r="B80" s="3" t="s">
        <v>858</v>
      </c>
      <c r="C80" s="3" t="s">
        <v>859</v>
      </c>
      <c r="D80" s="3" t="s">
        <v>860</v>
      </c>
      <c r="E80" s="3">
        <v>33</v>
      </c>
      <c r="F80" s="3" t="s">
        <v>35</v>
      </c>
      <c r="G80" s="3" t="s">
        <v>24</v>
      </c>
      <c r="H80" s="3"/>
      <c r="I80" s="3"/>
      <c r="J80" s="24" t="s">
        <v>836</v>
      </c>
      <c r="K80" s="3"/>
      <c r="L80" s="6"/>
      <c r="M80" s="20"/>
      <c r="O80" s="3"/>
      <c r="P80" s="3">
        <v>1</v>
      </c>
      <c r="Q80" s="3"/>
      <c r="R80" s="3"/>
      <c r="S80" s="3"/>
    </row>
    <row r="81" spans="1:19" ht="25" customHeight="1" x14ac:dyDescent="0.3">
      <c r="A81" s="3"/>
      <c r="B81" s="3" t="s">
        <v>876</v>
      </c>
      <c r="C81" s="3" t="s">
        <v>201</v>
      </c>
      <c r="D81" s="3" t="s">
        <v>877</v>
      </c>
      <c r="E81" s="3">
        <v>25</v>
      </c>
      <c r="F81" s="3" t="s">
        <v>35</v>
      </c>
      <c r="G81" s="3" t="s">
        <v>24</v>
      </c>
      <c r="H81" s="3"/>
      <c r="I81" s="3"/>
      <c r="J81" s="24" t="s">
        <v>451</v>
      </c>
      <c r="K81" s="3"/>
      <c r="L81" s="6"/>
      <c r="M81" s="20"/>
      <c r="O81" s="3"/>
      <c r="P81" s="3">
        <v>1</v>
      </c>
      <c r="Q81" s="3"/>
      <c r="R81" s="3"/>
      <c r="S81" s="3"/>
    </row>
    <row r="82" spans="1:19" ht="25" customHeight="1" x14ac:dyDescent="0.3">
      <c r="A82" s="3"/>
      <c r="B82" s="3" t="s">
        <v>879</v>
      </c>
      <c r="C82" s="3" t="s">
        <v>592</v>
      </c>
      <c r="D82" s="3" t="s">
        <v>111</v>
      </c>
      <c r="E82" s="3">
        <v>27</v>
      </c>
      <c r="F82" s="3" t="s">
        <v>35</v>
      </c>
      <c r="G82" s="3" t="s">
        <v>36</v>
      </c>
      <c r="H82" s="3"/>
      <c r="I82" s="3"/>
      <c r="J82" s="24" t="s">
        <v>880</v>
      </c>
      <c r="K82" s="3"/>
      <c r="L82" s="6"/>
      <c r="M82" s="20"/>
      <c r="O82" s="3"/>
      <c r="P82" s="3"/>
      <c r="Q82" s="3">
        <v>1</v>
      </c>
      <c r="R82" s="3"/>
      <c r="S82" s="3"/>
    </row>
    <row r="83" spans="1:19" ht="25" customHeight="1" x14ac:dyDescent="0.3">
      <c r="A83" s="3"/>
      <c r="B83" s="3" t="s">
        <v>889</v>
      </c>
      <c r="C83" s="3" t="s">
        <v>377</v>
      </c>
      <c r="D83" s="3" t="s">
        <v>111</v>
      </c>
      <c r="E83" s="3">
        <v>27</v>
      </c>
      <c r="F83" s="3" t="s">
        <v>35</v>
      </c>
      <c r="G83" s="3" t="s">
        <v>29</v>
      </c>
      <c r="H83" s="3"/>
      <c r="I83" s="3"/>
      <c r="J83" s="24" t="s">
        <v>816</v>
      </c>
      <c r="K83" s="3"/>
      <c r="L83" s="6"/>
      <c r="M83" s="20"/>
      <c r="O83" s="3">
        <v>1</v>
      </c>
      <c r="P83" s="3"/>
      <c r="Q83" s="3"/>
      <c r="R83" s="3"/>
      <c r="S83" s="3"/>
    </row>
    <row r="84" spans="1:19" ht="25" customHeight="1" x14ac:dyDescent="0.3">
      <c r="A84" s="3"/>
      <c r="B84" s="3" t="s">
        <v>890</v>
      </c>
      <c r="C84" s="3" t="s">
        <v>891</v>
      </c>
      <c r="D84" s="3"/>
      <c r="E84" s="3">
        <v>26</v>
      </c>
      <c r="F84" s="3" t="s">
        <v>35</v>
      </c>
      <c r="G84" s="3" t="s">
        <v>65</v>
      </c>
      <c r="H84" s="3"/>
      <c r="I84" s="3"/>
      <c r="J84" s="24" t="s">
        <v>451</v>
      </c>
      <c r="K84" s="3"/>
      <c r="L84" s="6"/>
      <c r="M84" s="20"/>
      <c r="O84" s="3"/>
      <c r="P84" s="3"/>
      <c r="Q84" s="3"/>
      <c r="R84" s="3"/>
      <c r="S84" s="3">
        <v>1</v>
      </c>
    </row>
    <row r="85" spans="1:19" ht="25" customHeight="1" x14ac:dyDescent="0.3">
      <c r="A85" s="3"/>
      <c r="B85" s="3" t="s">
        <v>898</v>
      </c>
      <c r="C85" s="3" t="s">
        <v>230</v>
      </c>
      <c r="D85" s="3" t="s">
        <v>599</v>
      </c>
      <c r="E85" s="3">
        <v>26</v>
      </c>
      <c r="F85" s="3" t="s">
        <v>35</v>
      </c>
      <c r="G85" s="3" t="s">
        <v>24</v>
      </c>
      <c r="H85" s="3"/>
      <c r="I85" s="3"/>
      <c r="J85" s="24" t="s">
        <v>567</v>
      </c>
      <c r="K85" s="3"/>
      <c r="L85" s="6"/>
      <c r="M85" s="20"/>
      <c r="O85" s="3"/>
      <c r="P85" s="3">
        <v>1</v>
      </c>
      <c r="Q85" s="3"/>
      <c r="R85" s="3"/>
      <c r="S85" s="3"/>
    </row>
    <row r="86" spans="1:19" ht="25" customHeight="1" x14ac:dyDescent="0.3">
      <c r="A86" s="3"/>
      <c r="B86" s="3" t="s">
        <v>911</v>
      </c>
      <c r="C86" s="3" t="s">
        <v>891</v>
      </c>
      <c r="D86" s="3" t="s">
        <v>799</v>
      </c>
      <c r="E86" s="3">
        <v>35</v>
      </c>
      <c r="F86" s="3" t="s">
        <v>35</v>
      </c>
      <c r="G86" s="3" t="s">
        <v>36</v>
      </c>
      <c r="H86" s="3"/>
      <c r="I86" s="3"/>
      <c r="J86" s="24" t="s">
        <v>571</v>
      </c>
      <c r="K86" s="3"/>
      <c r="L86" s="6"/>
      <c r="M86" s="20"/>
      <c r="O86" s="3"/>
      <c r="P86" s="3"/>
      <c r="Q86" s="3">
        <v>1</v>
      </c>
      <c r="R86" s="3"/>
      <c r="S86" s="3"/>
    </row>
    <row r="87" spans="1:19" ht="25" customHeight="1" x14ac:dyDescent="0.3">
      <c r="A87" s="3"/>
      <c r="B87" s="3" t="s">
        <v>872</v>
      </c>
      <c r="C87" s="3" t="s">
        <v>228</v>
      </c>
      <c r="D87" s="3" t="s">
        <v>935</v>
      </c>
      <c r="E87" s="3">
        <v>35</v>
      </c>
      <c r="F87" s="3" t="s">
        <v>35</v>
      </c>
      <c r="G87" s="3" t="s">
        <v>24</v>
      </c>
      <c r="H87" s="3"/>
      <c r="I87" s="3"/>
      <c r="J87" s="24" t="s">
        <v>567</v>
      </c>
      <c r="K87" s="3"/>
      <c r="L87" s="6"/>
      <c r="M87" s="20"/>
      <c r="O87" s="3"/>
      <c r="P87" s="3">
        <v>1</v>
      </c>
      <c r="Q87" s="3"/>
      <c r="R87" s="3"/>
      <c r="S87" s="3"/>
    </row>
    <row r="88" spans="1:19" ht="25" customHeight="1" x14ac:dyDescent="0.3">
      <c r="A88" s="3"/>
      <c r="B88" s="3" t="s">
        <v>305</v>
      </c>
      <c r="C88" s="3" t="s">
        <v>27</v>
      </c>
      <c r="D88" s="3" t="s">
        <v>943</v>
      </c>
      <c r="E88" s="3">
        <v>29</v>
      </c>
      <c r="F88" s="3" t="s">
        <v>35</v>
      </c>
      <c r="G88" s="3" t="s">
        <v>24</v>
      </c>
      <c r="H88" s="3"/>
      <c r="I88" s="3"/>
      <c r="J88" s="24" t="s">
        <v>944</v>
      </c>
      <c r="K88" s="3"/>
      <c r="L88" s="6"/>
      <c r="M88" s="20"/>
      <c r="O88" s="3"/>
      <c r="P88" s="3">
        <v>1</v>
      </c>
      <c r="Q88" s="3"/>
      <c r="R88" s="3"/>
      <c r="S88" s="3"/>
    </row>
    <row r="89" spans="1:19" ht="25" customHeight="1" x14ac:dyDescent="0.3">
      <c r="A89" s="3"/>
      <c r="B89" s="3" t="s">
        <v>361</v>
      </c>
      <c r="C89" s="3" t="s">
        <v>958</v>
      </c>
      <c r="D89" s="3" t="s">
        <v>894</v>
      </c>
      <c r="E89" s="3">
        <v>29</v>
      </c>
      <c r="F89" s="3" t="s">
        <v>35</v>
      </c>
      <c r="G89" s="3" t="s">
        <v>64</v>
      </c>
      <c r="H89" s="3"/>
      <c r="I89" s="3"/>
      <c r="J89" s="24" t="s">
        <v>959</v>
      </c>
      <c r="K89" s="3"/>
      <c r="L89" s="6"/>
      <c r="M89" s="20"/>
      <c r="O89" s="3"/>
      <c r="P89" s="3"/>
      <c r="Q89" s="3"/>
      <c r="R89" s="3">
        <v>1</v>
      </c>
      <c r="S89" s="3"/>
    </row>
    <row r="90" spans="1:19" ht="25" customHeight="1" x14ac:dyDescent="0.3">
      <c r="A90" s="3"/>
      <c r="B90" s="3" t="s">
        <v>379</v>
      </c>
      <c r="C90" s="3" t="s">
        <v>891</v>
      </c>
      <c r="D90" s="3" t="s">
        <v>200</v>
      </c>
      <c r="E90" s="3">
        <v>35</v>
      </c>
      <c r="F90" s="3"/>
      <c r="G90" s="3" t="s">
        <v>36</v>
      </c>
      <c r="H90" s="3"/>
      <c r="I90" s="3"/>
      <c r="J90" s="24" t="s">
        <v>1061</v>
      </c>
      <c r="K90" s="3"/>
      <c r="L90" s="6"/>
      <c r="M90" s="20"/>
      <c r="O90" s="3"/>
      <c r="P90" s="3"/>
      <c r="Q90" s="3">
        <v>1</v>
      </c>
      <c r="R90" s="3"/>
      <c r="S90" s="3"/>
    </row>
    <row r="91" spans="1:19" ht="25" customHeight="1" x14ac:dyDescent="0.3">
      <c r="A91" s="3"/>
      <c r="B91" s="3" t="s">
        <v>1074</v>
      </c>
      <c r="C91" s="3" t="s">
        <v>1075</v>
      </c>
      <c r="D91" s="3" t="s">
        <v>1076</v>
      </c>
      <c r="E91" s="3">
        <v>35</v>
      </c>
      <c r="F91" s="3"/>
      <c r="G91" s="3" t="s">
        <v>24</v>
      </c>
      <c r="H91" s="3"/>
      <c r="I91" s="3"/>
      <c r="J91" s="24" t="s">
        <v>438</v>
      </c>
      <c r="K91" s="3"/>
      <c r="L91" s="6"/>
      <c r="M91" s="20"/>
      <c r="O91" s="3"/>
      <c r="P91" s="3">
        <v>1</v>
      </c>
      <c r="Q91" s="3"/>
      <c r="R91" s="3"/>
      <c r="S91" s="3"/>
    </row>
    <row r="92" spans="1:19" ht="25" customHeight="1" x14ac:dyDescent="0.3">
      <c r="A92" s="3"/>
      <c r="B92" s="3" t="s">
        <v>1081</v>
      </c>
      <c r="C92" s="3" t="s">
        <v>507</v>
      </c>
      <c r="D92" s="3" t="s">
        <v>1082</v>
      </c>
      <c r="E92" s="3">
        <v>29</v>
      </c>
      <c r="F92" s="3"/>
      <c r="G92" s="3" t="s">
        <v>24</v>
      </c>
      <c r="H92" s="3"/>
      <c r="I92" s="3"/>
      <c r="J92" s="24" t="s">
        <v>1083</v>
      </c>
      <c r="K92" s="3"/>
      <c r="L92" s="6"/>
      <c r="M92" s="20"/>
      <c r="O92" s="3"/>
      <c r="P92" s="3">
        <v>1</v>
      </c>
      <c r="Q92" s="3"/>
      <c r="R92" s="3"/>
      <c r="S92" s="3"/>
    </row>
    <row r="93" spans="1:19" ht="25" customHeight="1" x14ac:dyDescent="0.3">
      <c r="A93" s="3"/>
      <c r="B93" s="3" t="s">
        <v>1084</v>
      </c>
      <c r="C93" s="3" t="s">
        <v>1086</v>
      </c>
      <c r="D93" s="3" t="s">
        <v>1085</v>
      </c>
      <c r="E93" s="3">
        <v>29</v>
      </c>
      <c r="F93" s="3"/>
      <c r="G93" s="3" t="s">
        <v>24</v>
      </c>
      <c r="H93" s="3"/>
      <c r="I93" s="3"/>
      <c r="J93" s="24" t="s">
        <v>1087</v>
      </c>
      <c r="K93" s="3"/>
      <c r="L93" s="6"/>
      <c r="M93" s="20"/>
      <c r="O93" s="3"/>
      <c r="P93" s="3">
        <v>1</v>
      </c>
      <c r="Q93" s="3"/>
      <c r="R93" s="3"/>
      <c r="S93" s="3"/>
    </row>
    <row r="94" spans="1:19" ht="25" customHeight="1" x14ac:dyDescent="0.3">
      <c r="A94" s="3"/>
      <c r="B94" s="3" t="s">
        <v>1096</v>
      </c>
      <c r="C94" s="3" t="s">
        <v>1097</v>
      </c>
      <c r="D94" s="3" t="s">
        <v>1098</v>
      </c>
      <c r="E94" s="3">
        <v>29</v>
      </c>
      <c r="F94" s="3"/>
      <c r="G94" s="3" t="s">
        <v>64</v>
      </c>
      <c r="H94" s="3"/>
      <c r="I94" s="3"/>
      <c r="J94" s="24" t="s">
        <v>438</v>
      </c>
      <c r="K94" s="3"/>
      <c r="L94" s="6"/>
      <c r="M94" s="20"/>
      <c r="O94" s="3"/>
      <c r="P94" s="3"/>
      <c r="Q94" s="3"/>
      <c r="R94" s="3">
        <v>1</v>
      </c>
      <c r="S94" s="3"/>
    </row>
    <row r="95" spans="1:19" ht="25" customHeight="1" x14ac:dyDescent="0.3">
      <c r="A95" s="3"/>
      <c r="B95" s="3" t="s">
        <v>1126</v>
      </c>
      <c r="C95" s="3" t="s">
        <v>43</v>
      </c>
      <c r="D95" s="3" t="s">
        <v>91</v>
      </c>
      <c r="E95" s="3">
        <v>30</v>
      </c>
      <c r="F95" s="3"/>
      <c r="G95" s="3" t="s">
        <v>36</v>
      </c>
      <c r="H95" s="3"/>
      <c r="I95" s="3"/>
      <c r="J95" s="24" t="s">
        <v>1127</v>
      </c>
      <c r="K95" s="3"/>
      <c r="L95" s="6"/>
      <c r="M95" s="20"/>
      <c r="O95" s="3"/>
      <c r="P95" s="3"/>
      <c r="Q95" s="3">
        <v>1</v>
      </c>
      <c r="R95" s="3"/>
      <c r="S95" s="3"/>
    </row>
    <row r="96" spans="1:19" ht="25" customHeight="1" x14ac:dyDescent="0.3">
      <c r="A96" s="3"/>
      <c r="B96" s="3" t="s">
        <v>1130</v>
      </c>
      <c r="C96" s="3" t="s">
        <v>1131</v>
      </c>
      <c r="D96" s="3" t="s">
        <v>104</v>
      </c>
      <c r="E96" s="3">
        <v>30</v>
      </c>
      <c r="F96" s="3"/>
      <c r="G96" s="3" t="s">
        <v>64</v>
      </c>
      <c r="H96" s="3"/>
      <c r="I96" s="3"/>
      <c r="J96" s="24" t="s">
        <v>944</v>
      </c>
      <c r="K96" s="3"/>
      <c r="L96" s="6"/>
      <c r="M96" s="20"/>
      <c r="O96" s="3"/>
      <c r="P96" s="3"/>
      <c r="Q96" s="3"/>
      <c r="R96" s="3">
        <v>1</v>
      </c>
      <c r="S96" s="3"/>
    </row>
    <row r="97" spans="1:19" ht="25" customHeight="1" x14ac:dyDescent="0.3">
      <c r="A97" s="3"/>
      <c r="B97" s="3" t="s">
        <v>566</v>
      </c>
      <c r="C97" s="3" t="s">
        <v>1142</v>
      </c>
      <c r="D97" s="3" t="s">
        <v>91</v>
      </c>
      <c r="E97" s="3">
        <v>30</v>
      </c>
      <c r="F97" s="3"/>
      <c r="G97" s="3" t="s">
        <v>24</v>
      </c>
      <c r="H97" s="3"/>
      <c r="I97" s="3"/>
      <c r="J97" s="24" t="s">
        <v>1143</v>
      </c>
      <c r="K97" s="3"/>
      <c r="L97" s="6"/>
      <c r="M97" s="20"/>
      <c r="O97" s="3"/>
      <c r="P97" s="3">
        <v>1</v>
      </c>
      <c r="Q97" s="3"/>
      <c r="R97" s="3"/>
      <c r="S97" s="3"/>
    </row>
    <row r="98" spans="1:19" ht="25" customHeight="1" x14ac:dyDescent="0.3">
      <c r="A98" s="3"/>
      <c r="B98" s="3" t="s">
        <v>1148</v>
      </c>
      <c r="C98" s="3" t="s">
        <v>86</v>
      </c>
      <c r="D98" s="3" t="s">
        <v>166</v>
      </c>
      <c r="E98" s="3">
        <v>32</v>
      </c>
      <c r="F98" s="3"/>
      <c r="G98" s="3" t="s">
        <v>36</v>
      </c>
      <c r="H98" s="3"/>
      <c r="I98" s="3"/>
      <c r="J98" s="24" t="s">
        <v>1147</v>
      </c>
      <c r="K98" s="3"/>
      <c r="L98" s="6"/>
      <c r="M98" s="20"/>
      <c r="O98" s="3"/>
      <c r="P98" s="3"/>
      <c r="Q98" s="3">
        <v>1</v>
      </c>
      <c r="R98" s="3"/>
      <c r="S98" s="3"/>
    </row>
    <row r="99" spans="1:19" ht="25" customHeight="1" x14ac:dyDescent="0.3">
      <c r="A99" s="3"/>
      <c r="B99" s="3" t="s">
        <v>1149</v>
      </c>
      <c r="C99" s="3" t="s">
        <v>1150</v>
      </c>
      <c r="D99" s="3" t="s">
        <v>1151</v>
      </c>
      <c r="E99" s="3">
        <v>33</v>
      </c>
      <c r="F99" s="3"/>
      <c r="G99" s="3" t="s">
        <v>24</v>
      </c>
      <c r="H99" s="3"/>
      <c r="I99" s="3"/>
      <c r="J99" s="24" t="s">
        <v>438</v>
      </c>
      <c r="K99" s="3"/>
      <c r="L99" s="6"/>
      <c r="M99" s="20"/>
      <c r="O99" s="3"/>
      <c r="P99" s="3">
        <v>1</v>
      </c>
      <c r="Q99" s="3"/>
      <c r="R99" s="3"/>
      <c r="S99" s="3"/>
    </row>
    <row r="100" spans="1:19" ht="25" customHeight="1" x14ac:dyDescent="0.35">
      <c r="A100" s="3"/>
      <c r="B100" s="44" t="s">
        <v>1215</v>
      </c>
      <c r="C100" s="44" t="s">
        <v>1216</v>
      </c>
      <c r="D100" s="44" t="s">
        <v>1217</v>
      </c>
      <c r="E100" s="44">
        <v>30</v>
      </c>
      <c r="F100" s="44" t="s">
        <v>35</v>
      </c>
      <c r="G100" s="44" t="s">
        <v>24</v>
      </c>
      <c r="H100" s="3"/>
      <c r="I100" s="3"/>
      <c r="J100" s="25" t="s">
        <v>1196</v>
      </c>
      <c r="K100" s="3"/>
      <c r="L100" s="6"/>
      <c r="M100" s="20"/>
      <c r="O100" s="3"/>
      <c r="P100" s="3">
        <v>1</v>
      </c>
      <c r="Q100" s="3"/>
      <c r="R100" s="3"/>
      <c r="S100" s="3"/>
    </row>
    <row r="101" spans="1:19" ht="25" customHeight="1" x14ac:dyDescent="0.35">
      <c r="A101" s="3"/>
      <c r="B101" s="44" t="s">
        <v>1218</v>
      </c>
      <c r="C101" s="44" t="s">
        <v>85</v>
      </c>
      <c r="D101" s="44" t="s">
        <v>1219</v>
      </c>
      <c r="E101" s="44">
        <v>35</v>
      </c>
      <c r="F101" s="44" t="s">
        <v>35</v>
      </c>
      <c r="G101" s="44" t="s">
        <v>24</v>
      </c>
      <c r="H101" s="3"/>
      <c r="I101" s="3"/>
      <c r="J101" s="25" t="s">
        <v>1196</v>
      </c>
      <c r="K101" s="3"/>
      <c r="L101" s="6"/>
      <c r="M101" s="20"/>
      <c r="O101" s="3"/>
      <c r="P101" s="3">
        <v>1</v>
      </c>
      <c r="Q101" s="3"/>
      <c r="R101" s="3"/>
      <c r="S101" s="3"/>
    </row>
    <row r="102" spans="1:19" ht="25" customHeight="1" x14ac:dyDescent="0.35">
      <c r="A102" s="3"/>
      <c r="B102" s="44" t="s">
        <v>562</v>
      </c>
      <c r="C102" s="44" t="s">
        <v>1220</v>
      </c>
      <c r="D102" s="44" t="s">
        <v>111</v>
      </c>
      <c r="E102" s="44">
        <v>35</v>
      </c>
      <c r="F102" s="44" t="s">
        <v>35</v>
      </c>
      <c r="G102" s="44" t="s">
        <v>24</v>
      </c>
      <c r="H102" s="3"/>
      <c r="I102" s="3"/>
      <c r="J102" s="25" t="s">
        <v>1196</v>
      </c>
      <c r="K102" s="3"/>
      <c r="L102" s="6"/>
      <c r="M102" s="20"/>
      <c r="O102" s="3"/>
      <c r="P102" s="3">
        <v>1</v>
      </c>
      <c r="Q102" s="3"/>
      <c r="R102" s="3"/>
      <c r="S102" s="3"/>
    </row>
    <row r="103" spans="1:19" ht="25" customHeight="1" x14ac:dyDescent="0.35">
      <c r="A103" s="3"/>
      <c r="B103" s="44" t="s">
        <v>556</v>
      </c>
      <c r="C103" s="44" t="s">
        <v>27</v>
      </c>
      <c r="D103" s="44" t="s">
        <v>1221</v>
      </c>
      <c r="E103" s="44">
        <v>33</v>
      </c>
      <c r="F103" s="44" t="s">
        <v>35</v>
      </c>
      <c r="G103" s="44" t="s">
        <v>24</v>
      </c>
      <c r="H103" s="3"/>
      <c r="I103" s="3"/>
      <c r="J103" s="25" t="s">
        <v>1196</v>
      </c>
      <c r="K103" s="3"/>
      <c r="L103" s="6"/>
      <c r="M103" s="20"/>
      <c r="O103" s="3"/>
      <c r="P103" s="3">
        <v>1</v>
      </c>
      <c r="Q103" s="3"/>
      <c r="R103" s="3"/>
      <c r="S103" s="3"/>
    </row>
    <row r="104" spans="1:19" ht="25" customHeight="1" x14ac:dyDescent="0.3">
      <c r="A104" s="3"/>
      <c r="B104" s="3" t="s">
        <v>1222</v>
      </c>
      <c r="C104" s="3" t="s">
        <v>1173</v>
      </c>
      <c r="D104" s="3" t="s">
        <v>1223</v>
      </c>
      <c r="E104" s="3">
        <v>34</v>
      </c>
      <c r="F104" s="3" t="s">
        <v>35</v>
      </c>
      <c r="G104" s="3" t="s">
        <v>1170</v>
      </c>
      <c r="H104" s="3"/>
      <c r="I104" s="3"/>
      <c r="J104" s="25" t="s">
        <v>1196</v>
      </c>
      <c r="K104" s="3"/>
      <c r="L104" s="6"/>
      <c r="M104" s="20"/>
      <c r="O104" s="3"/>
      <c r="P104" s="3"/>
      <c r="Q104" s="3">
        <v>1</v>
      </c>
      <c r="R104" s="3"/>
      <c r="S104" s="3"/>
    </row>
    <row r="105" spans="1:19" ht="25" customHeight="1" x14ac:dyDescent="0.3">
      <c r="A105" s="3"/>
      <c r="B105" s="3" t="s">
        <v>1224</v>
      </c>
      <c r="C105" s="3" t="s">
        <v>85</v>
      </c>
      <c r="D105" s="3" t="s">
        <v>60</v>
      </c>
      <c r="E105" s="3">
        <v>26</v>
      </c>
      <c r="F105" s="3" t="s">
        <v>35</v>
      </c>
      <c r="G105" s="3" t="s">
        <v>24</v>
      </c>
      <c r="H105" s="3"/>
      <c r="I105" s="3"/>
      <c r="J105" s="25" t="s">
        <v>1196</v>
      </c>
      <c r="K105" s="3"/>
      <c r="L105" s="6"/>
      <c r="M105" s="20"/>
      <c r="O105" s="3"/>
      <c r="P105" s="3">
        <v>1</v>
      </c>
      <c r="Q105" s="3"/>
      <c r="R105" s="3"/>
      <c r="S105" s="3"/>
    </row>
    <row r="106" spans="1:19" ht="25" customHeight="1" x14ac:dyDescent="0.3">
      <c r="A106" s="3"/>
      <c r="B106" s="3" t="s">
        <v>830</v>
      </c>
      <c r="C106" s="3" t="s">
        <v>228</v>
      </c>
      <c r="D106" s="3" t="s">
        <v>1032</v>
      </c>
      <c r="E106" s="3">
        <v>26</v>
      </c>
      <c r="F106" s="3" t="s">
        <v>35</v>
      </c>
      <c r="G106" s="3" t="s">
        <v>24</v>
      </c>
      <c r="H106" s="3"/>
      <c r="I106" s="3"/>
      <c r="J106" s="25" t="s">
        <v>1196</v>
      </c>
      <c r="K106" s="3"/>
      <c r="L106" s="6"/>
      <c r="M106" s="20"/>
      <c r="O106" s="3"/>
      <c r="P106" s="3">
        <v>1</v>
      </c>
      <c r="Q106" s="3"/>
      <c r="R106" s="3"/>
      <c r="S106" s="3"/>
    </row>
    <row r="107" spans="1:19" ht="25" customHeight="1" x14ac:dyDescent="0.3">
      <c r="A107" s="3"/>
      <c r="B107" s="3" t="s">
        <v>1225</v>
      </c>
      <c r="C107" s="3" t="s">
        <v>906</v>
      </c>
      <c r="D107" s="3" t="s">
        <v>1226</v>
      </c>
      <c r="E107" s="3">
        <v>25</v>
      </c>
      <c r="F107" s="3" t="s">
        <v>35</v>
      </c>
      <c r="G107" s="3" t="s">
        <v>65</v>
      </c>
      <c r="H107" s="3"/>
      <c r="I107" s="3"/>
      <c r="J107" s="25" t="s">
        <v>1196</v>
      </c>
      <c r="K107" s="3"/>
      <c r="L107" s="6"/>
      <c r="M107" s="20"/>
      <c r="O107" s="3"/>
      <c r="P107" s="3"/>
      <c r="Q107" s="3"/>
      <c r="R107" s="3"/>
      <c r="S107" s="3">
        <v>1</v>
      </c>
    </row>
    <row r="108" spans="1:19" ht="25" customHeight="1" x14ac:dyDescent="0.3">
      <c r="A108" s="3"/>
      <c r="B108" s="3" t="s">
        <v>1227</v>
      </c>
      <c r="C108" s="3" t="s">
        <v>1228</v>
      </c>
      <c r="D108" s="3" t="s">
        <v>1229</v>
      </c>
      <c r="E108" s="3">
        <v>27</v>
      </c>
      <c r="F108" s="3" t="s">
        <v>35</v>
      </c>
      <c r="G108" s="3" t="s">
        <v>1170</v>
      </c>
      <c r="H108" s="3"/>
      <c r="I108" s="3"/>
      <c r="J108" s="25" t="s">
        <v>1196</v>
      </c>
      <c r="K108" s="3"/>
      <c r="L108" s="6"/>
      <c r="M108" s="20"/>
      <c r="O108" s="3"/>
      <c r="P108" s="3"/>
      <c r="Q108" s="3">
        <v>1</v>
      </c>
      <c r="R108" s="3"/>
      <c r="S108" s="3"/>
    </row>
    <row r="109" spans="1:19" ht="25" customHeight="1" x14ac:dyDescent="0.3">
      <c r="A109" s="3"/>
      <c r="B109" s="3" t="s">
        <v>1230</v>
      </c>
      <c r="C109" s="3" t="s">
        <v>558</v>
      </c>
      <c r="D109" s="3" t="s">
        <v>119</v>
      </c>
      <c r="E109" s="3">
        <v>32</v>
      </c>
      <c r="F109" s="3" t="s">
        <v>35</v>
      </c>
      <c r="G109" s="3" t="s">
        <v>1181</v>
      </c>
      <c r="H109" s="3"/>
      <c r="I109" s="3"/>
      <c r="J109" s="25" t="s">
        <v>1196</v>
      </c>
      <c r="K109" s="3"/>
      <c r="L109" s="6"/>
      <c r="M109" s="20"/>
      <c r="O109" s="3">
        <v>1</v>
      </c>
      <c r="P109" s="3"/>
      <c r="Q109" s="3"/>
      <c r="R109" s="3"/>
      <c r="S109" s="3"/>
    </row>
    <row r="110" spans="1:19" ht="25" customHeight="1" x14ac:dyDescent="0.3">
      <c r="A110" s="3"/>
      <c r="B110" s="3" t="s">
        <v>1231</v>
      </c>
      <c r="C110" s="3" t="s">
        <v>1232</v>
      </c>
      <c r="D110" s="3" t="s">
        <v>99</v>
      </c>
      <c r="E110" s="3">
        <v>34</v>
      </c>
      <c r="F110" s="3" t="s">
        <v>35</v>
      </c>
      <c r="G110" s="3" t="s">
        <v>1170</v>
      </c>
      <c r="H110" s="3"/>
      <c r="I110" s="3"/>
      <c r="J110" s="25" t="s">
        <v>1196</v>
      </c>
      <c r="K110" s="3"/>
      <c r="L110" s="6"/>
      <c r="M110" s="20"/>
      <c r="O110" s="3"/>
      <c r="P110" s="3"/>
      <c r="Q110" s="3">
        <v>1</v>
      </c>
      <c r="R110" s="3"/>
      <c r="S110" s="3"/>
    </row>
    <row r="111" spans="1:19" ht="25" customHeight="1" x14ac:dyDescent="0.3">
      <c r="A111" s="3"/>
      <c r="B111" s="3" t="s">
        <v>1233</v>
      </c>
      <c r="C111" s="3" t="s">
        <v>329</v>
      </c>
      <c r="D111" s="3" t="s">
        <v>143</v>
      </c>
      <c r="E111" s="3">
        <v>22</v>
      </c>
      <c r="F111" s="3" t="s">
        <v>35</v>
      </c>
      <c r="G111" s="3" t="s">
        <v>1201</v>
      </c>
      <c r="H111" s="3"/>
      <c r="I111" s="3"/>
      <c r="J111" s="25" t="s">
        <v>1196</v>
      </c>
      <c r="K111" s="3"/>
      <c r="L111" s="6"/>
      <c r="M111" s="20"/>
      <c r="O111" s="3"/>
      <c r="P111" s="3"/>
      <c r="Q111" s="3"/>
      <c r="R111" s="3">
        <v>1</v>
      </c>
      <c r="S111" s="3"/>
    </row>
    <row r="112" spans="1:19" ht="25" customHeight="1" x14ac:dyDescent="0.3">
      <c r="A112" s="3"/>
      <c r="B112" s="3" t="s">
        <v>1234</v>
      </c>
      <c r="C112" s="3" t="s">
        <v>375</v>
      </c>
      <c r="D112" s="3" t="s">
        <v>214</v>
      </c>
      <c r="E112" s="3">
        <v>29</v>
      </c>
      <c r="F112" s="3" t="s">
        <v>35</v>
      </c>
      <c r="G112" s="3" t="s">
        <v>24</v>
      </c>
      <c r="H112" s="3"/>
      <c r="I112" s="3"/>
      <c r="J112" s="25" t="s">
        <v>1196</v>
      </c>
      <c r="K112" s="3"/>
      <c r="L112" s="6"/>
      <c r="M112" s="20"/>
      <c r="O112" s="3"/>
      <c r="P112" s="3">
        <v>1</v>
      </c>
      <c r="Q112" s="3"/>
      <c r="R112" s="3"/>
      <c r="S112" s="3"/>
    </row>
    <row r="113" spans="1:19" ht="25" customHeight="1" x14ac:dyDescent="0.3">
      <c r="A113" s="3"/>
      <c r="B113" s="3" t="s">
        <v>1235</v>
      </c>
      <c r="C113" s="3" t="s">
        <v>1236</v>
      </c>
      <c r="D113" s="3" t="s">
        <v>430</v>
      </c>
      <c r="E113" s="3">
        <v>24</v>
      </c>
      <c r="F113" s="3" t="s">
        <v>35</v>
      </c>
      <c r="G113" s="3" t="s">
        <v>24</v>
      </c>
      <c r="H113" s="3"/>
      <c r="I113" s="3"/>
      <c r="J113" s="25" t="s">
        <v>1196</v>
      </c>
      <c r="K113" s="3"/>
      <c r="L113" s="6"/>
      <c r="M113" s="20"/>
      <c r="O113" s="3"/>
      <c r="P113" s="3">
        <v>1</v>
      </c>
      <c r="Q113" s="3"/>
      <c r="R113" s="3"/>
      <c r="S113" s="3"/>
    </row>
    <row r="114" spans="1:19" ht="25" customHeight="1" x14ac:dyDescent="0.3">
      <c r="A114" s="3"/>
      <c r="B114" s="3" t="s">
        <v>1237</v>
      </c>
      <c r="C114" s="3" t="s">
        <v>91</v>
      </c>
      <c r="D114" s="3" t="s">
        <v>395</v>
      </c>
      <c r="E114" s="3">
        <v>20</v>
      </c>
      <c r="F114" s="3" t="s">
        <v>35</v>
      </c>
      <c r="G114" s="3" t="s">
        <v>29</v>
      </c>
      <c r="H114" s="3"/>
      <c r="I114" s="3"/>
      <c r="J114" s="25" t="s">
        <v>1196</v>
      </c>
      <c r="K114" s="3"/>
      <c r="L114" s="6"/>
      <c r="M114" s="20"/>
      <c r="O114" s="3">
        <v>1</v>
      </c>
      <c r="P114" s="3"/>
      <c r="Q114" s="3"/>
      <c r="R114" s="3"/>
      <c r="S114" s="3"/>
    </row>
    <row r="115" spans="1:19" ht="25" customHeight="1" x14ac:dyDescent="0.3">
      <c r="A115" s="3"/>
      <c r="B115" s="3" t="s">
        <v>337</v>
      </c>
      <c r="C115" s="3" t="s">
        <v>377</v>
      </c>
      <c r="D115" s="3" t="s">
        <v>106</v>
      </c>
      <c r="E115" s="3">
        <v>26</v>
      </c>
      <c r="F115" s="3" t="s">
        <v>35</v>
      </c>
      <c r="G115" s="3" t="s">
        <v>1170</v>
      </c>
      <c r="H115" s="3"/>
      <c r="I115" s="3"/>
      <c r="J115" s="25" t="s">
        <v>1196</v>
      </c>
      <c r="K115" s="3"/>
      <c r="L115" s="6"/>
      <c r="M115" s="20"/>
      <c r="O115" s="3"/>
      <c r="P115" s="3"/>
      <c r="Q115" s="3">
        <v>1</v>
      </c>
      <c r="R115" s="3"/>
      <c r="S115" s="3"/>
    </row>
    <row r="116" spans="1:19" ht="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24"/>
      <c r="K116" s="3"/>
      <c r="L116" s="6"/>
      <c r="M116" s="20"/>
      <c r="O116" s="3"/>
      <c r="P116" s="3"/>
      <c r="Q116" s="3"/>
      <c r="R116" s="3"/>
      <c r="S116" s="3"/>
    </row>
    <row r="117" spans="1:19" ht="25" customHeight="1" x14ac:dyDescent="0.3">
      <c r="A117" s="3"/>
      <c r="B117" s="3" t="s">
        <v>1380</v>
      </c>
      <c r="C117" s="3" t="s">
        <v>200</v>
      </c>
      <c r="D117" s="3" t="s">
        <v>339</v>
      </c>
      <c r="E117" s="3">
        <v>27</v>
      </c>
      <c r="F117" s="3" t="s">
        <v>35</v>
      </c>
      <c r="G117" s="3" t="s">
        <v>24</v>
      </c>
      <c r="H117" s="3"/>
      <c r="I117" s="3"/>
      <c r="J117" s="24" t="s">
        <v>923</v>
      </c>
      <c r="K117" s="3"/>
      <c r="L117" s="6"/>
      <c r="M117" s="20"/>
      <c r="O117" s="3"/>
      <c r="P117" s="3">
        <v>1</v>
      </c>
      <c r="Q117" s="3"/>
      <c r="R117" s="3"/>
      <c r="S117" s="3"/>
    </row>
    <row r="118" spans="1:19" ht="25" customHeight="1" x14ac:dyDescent="0.3">
      <c r="A118" s="3"/>
      <c r="B118" s="3" t="s">
        <v>1381</v>
      </c>
      <c r="C118" s="3" t="s">
        <v>59</v>
      </c>
      <c r="D118" s="3" t="s">
        <v>433</v>
      </c>
      <c r="E118" s="3">
        <v>28</v>
      </c>
      <c r="F118" s="3" t="s">
        <v>35</v>
      </c>
      <c r="G118" s="3" t="s">
        <v>24</v>
      </c>
      <c r="H118" s="3"/>
      <c r="I118" s="3"/>
      <c r="J118" s="24" t="s">
        <v>1416</v>
      </c>
      <c r="K118" s="3"/>
      <c r="L118" s="6"/>
      <c r="M118" s="20"/>
      <c r="O118" s="3"/>
      <c r="P118" s="3">
        <v>1</v>
      </c>
      <c r="Q118" s="3"/>
      <c r="R118" s="3"/>
      <c r="S118" s="3"/>
    </row>
    <row r="119" spans="1:19" ht="25" customHeight="1" x14ac:dyDescent="0.3">
      <c r="A119" s="3"/>
      <c r="B119" s="3" t="s">
        <v>1382</v>
      </c>
      <c r="C119" s="3" t="s">
        <v>214</v>
      </c>
      <c r="D119" s="3" t="s">
        <v>600</v>
      </c>
      <c r="E119" s="3">
        <v>30</v>
      </c>
      <c r="F119" s="3" t="s">
        <v>35</v>
      </c>
      <c r="G119" s="3" t="s">
        <v>24</v>
      </c>
      <c r="H119" s="3"/>
      <c r="I119" s="3"/>
      <c r="J119" s="24" t="s">
        <v>565</v>
      </c>
      <c r="K119" s="3"/>
      <c r="L119" s="6"/>
      <c r="M119" s="20"/>
      <c r="O119" s="3"/>
      <c r="P119" s="3">
        <v>1</v>
      </c>
      <c r="Q119" s="3"/>
      <c r="R119" s="3"/>
      <c r="S119" s="3"/>
    </row>
    <row r="120" spans="1:19" ht="25" customHeight="1" x14ac:dyDescent="0.3">
      <c r="A120" s="3"/>
      <c r="B120" s="3" t="s">
        <v>1383</v>
      </c>
      <c r="C120" s="3" t="s">
        <v>1384</v>
      </c>
      <c r="D120" s="3" t="s">
        <v>228</v>
      </c>
      <c r="E120" s="3">
        <v>31</v>
      </c>
      <c r="F120" s="3" t="s">
        <v>35</v>
      </c>
      <c r="G120" s="3" t="s">
        <v>36</v>
      </c>
      <c r="H120" s="3"/>
      <c r="I120" s="3"/>
      <c r="J120" s="24" t="s">
        <v>1369</v>
      </c>
      <c r="K120" s="3"/>
      <c r="L120" s="6"/>
      <c r="M120" s="20"/>
      <c r="O120" s="3"/>
      <c r="P120" s="3"/>
      <c r="Q120" s="3">
        <v>1</v>
      </c>
      <c r="R120" s="3"/>
      <c r="S120" s="3"/>
    </row>
    <row r="121" spans="1:19" ht="25" customHeight="1" x14ac:dyDescent="0.3">
      <c r="A121" s="3"/>
      <c r="B121" s="3" t="s">
        <v>566</v>
      </c>
      <c r="C121" s="3" t="s">
        <v>1385</v>
      </c>
      <c r="D121" s="3" t="s">
        <v>1386</v>
      </c>
      <c r="E121" s="3">
        <v>30</v>
      </c>
      <c r="F121" s="3" t="s">
        <v>35</v>
      </c>
      <c r="G121" s="3" t="s">
        <v>24</v>
      </c>
      <c r="H121" s="3"/>
      <c r="I121" s="3"/>
      <c r="J121" s="24" t="s">
        <v>1349</v>
      </c>
      <c r="K121" s="3"/>
      <c r="L121" s="6"/>
      <c r="M121" s="20"/>
      <c r="O121" s="3"/>
      <c r="P121" s="3">
        <v>1</v>
      </c>
      <c r="Q121" s="3"/>
      <c r="R121" s="3"/>
      <c r="S121" s="3"/>
    </row>
    <row r="122" spans="1:19" ht="25" customHeight="1" x14ac:dyDescent="0.3">
      <c r="A122" s="3"/>
      <c r="B122" s="3" t="s">
        <v>1387</v>
      </c>
      <c r="C122" s="3" t="s">
        <v>237</v>
      </c>
      <c r="D122" s="3" t="s">
        <v>1388</v>
      </c>
      <c r="E122" s="3">
        <v>28</v>
      </c>
      <c r="F122" s="3" t="s">
        <v>35</v>
      </c>
      <c r="G122" s="3" t="s">
        <v>24</v>
      </c>
      <c r="H122" s="3"/>
      <c r="I122" s="3"/>
      <c r="J122" s="24" t="s">
        <v>1349</v>
      </c>
      <c r="K122" s="3"/>
      <c r="L122" s="6"/>
      <c r="M122" s="20"/>
      <c r="O122" s="3"/>
      <c r="P122" s="3">
        <v>1</v>
      </c>
      <c r="Q122" s="3"/>
      <c r="R122" s="3"/>
      <c r="S122" s="3"/>
    </row>
    <row r="123" spans="1:19" ht="25" customHeight="1" x14ac:dyDescent="0.3">
      <c r="A123" s="3"/>
      <c r="B123" s="3" t="s">
        <v>1389</v>
      </c>
      <c r="C123" s="3" t="s">
        <v>418</v>
      </c>
      <c r="D123" s="3" t="s">
        <v>91</v>
      </c>
      <c r="E123" s="3">
        <v>32</v>
      </c>
      <c r="F123" s="3" t="s">
        <v>35</v>
      </c>
      <c r="G123" s="3" t="s">
        <v>24</v>
      </c>
      <c r="H123" s="3"/>
      <c r="I123" s="3"/>
      <c r="J123" s="24" t="s">
        <v>1349</v>
      </c>
      <c r="K123" s="3"/>
      <c r="L123" s="6"/>
      <c r="M123" s="20"/>
      <c r="O123" s="3"/>
      <c r="P123" s="3">
        <v>1</v>
      </c>
      <c r="Q123" s="3"/>
      <c r="R123" s="3"/>
      <c r="S123" s="3"/>
    </row>
    <row r="124" spans="1:19" ht="25" customHeight="1" x14ac:dyDescent="0.3">
      <c r="A124" s="3"/>
      <c r="B124" s="3" t="s">
        <v>556</v>
      </c>
      <c r="C124" s="3" t="s">
        <v>91</v>
      </c>
      <c r="D124" s="3" t="s">
        <v>558</v>
      </c>
      <c r="E124" s="3">
        <v>27</v>
      </c>
      <c r="F124" s="3" t="s">
        <v>35</v>
      </c>
      <c r="G124" s="3" t="s">
        <v>36</v>
      </c>
      <c r="H124" s="3"/>
      <c r="I124" s="3"/>
      <c r="J124" s="24" t="s">
        <v>1349</v>
      </c>
      <c r="K124" s="3"/>
      <c r="L124" s="6"/>
      <c r="M124" s="20"/>
      <c r="O124" s="3"/>
      <c r="P124" s="3"/>
      <c r="Q124" s="3">
        <v>1</v>
      </c>
      <c r="R124" s="3"/>
      <c r="S124" s="3"/>
    </row>
    <row r="125" spans="1:19" ht="25" customHeight="1" x14ac:dyDescent="0.3">
      <c r="A125" s="3"/>
      <c r="B125" s="3" t="s">
        <v>1390</v>
      </c>
      <c r="C125" s="3" t="s">
        <v>96</v>
      </c>
      <c r="D125" s="3" t="s">
        <v>91</v>
      </c>
      <c r="E125" s="3">
        <v>32</v>
      </c>
      <c r="F125" s="3" t="s">
        <v>35</v>
      </c>
      <c r="G125" s="3" t="s">
        <v>36</v>
      </c>
      <c r="H125" s="3"/>
      <c r="I125" s="3"/>
      <c r="J125" s="24" t="s">
        <v>1349</v>
      </c>
      <c r="K125" s="3"/>
      <c r="L125" s="6"/>
      <c r="M125" s="20"/>
      <c r="O125" s="3"/>
      <c r="P125" s="3"/>
      <c r="Q125" s="3">
        <v>1</v>
      </c>
      <c r="R125" s="3"/>
      <c r="S125" s="3"/>
    </row>
    <row r="126" spans="1:19" ht="25" customHeight="1" x14ac:dyDescent="0.3">
      <c r="A126" s="3"/>
      <c r="B126" s="3" t="s">
        <v>1391</v>
      </c>
      <c r="C126" s="3" t="s">
        <v>1392</v>
      </c>
      <c r="D126" s="3" t="s">
        <v>1393</v>
      </c>
      <c r="E126" s="3">
        <v>30</v>
      </c>
      <c r="F126" s="3" t="s">
        <v>35</v>
      </c>
      <c r="G126" s="3" t="s">
        <v>36</v>
      </c>
      <c r="H126" s="3"/>
      <c r="I126" s="3"/>
      <c r="J126" s="24" t="s">
        <v>1417</v>
      </c>
      <c r="K126" s="3"/>
      <c r="L126" s="6"/>
      <c r="M126" s="20"/>
      <c r="O126" s="3"/>
      <c r="P126" s="3"/>
      <c r="Q126" s="3">
        <v>1</v>
      </c>
      <c r="R126" s="3"/>
      <c r="S126" s="3"/>
    </row>
    <row r="127" spans="1:19" ht="25" customHeight="1" x14ac:dyDescent="0.3">
      <c r="A127" s="3"/>
      <c r="B127" s="3" t="s">
        <v>1293</v>
      </c>
      <c r="C127" s="3" t="s">
        <v>1038</v>
      </c>
      <c r="D127" s="3" t="s">
        <v>179</v>
      </c>
      <c r="E127" s="3">
        <v>29</v>
      </c>
      <c r="F127" s="3" t="s">
        <v>35</v>
      </c>
      <c r="G127" s="3" t="s">
        <v>64</v>
      </c>
      <c r="H127" s="3"/>
      <c r="I127" s="3"/>
      <c r="J127" s="24" t="s">
        <v>1417</v>
      </c>
      <c r="K127" s="3"/>
      <c r="L127" s="6"/>
      <c r="M127" s="20"/>
      <c r="O127" s="3"/>
      <c r="P127" s="3"/>
      <c r="Q127" s="3"/>
      <c r="R127" s="3">
        <v>1</v>
      </c>
      <c r="S127" s="3"/>
    </row>
    <row r="128" spans="1:19" ht="25" customHeight="1" x14ac:dyDescent="0.3">
      <c r="A128" s="3"/>
      <c r="B128" s="3" t="s">
        <v>1394</v>
      </c>
      <c r="C128" s="3" t="s">
        <v>88</v>
      </c>
      <c r="D128" s="3" t="s">
        <v>1395</v>
      </c>
      <c r="E128" s="3">
        <v>27</v>
      </c>
      <c r="F128" s="3" t="s">
        <v>35</v>
      </c>
      <c r="G128" s="3" t="s">
        <v>36</v>
      </c>
      <c r="H128" s="3"/>
      <c r="I128" s="3"/>
      <c r="J128" s="24" t="s">
        <v>923</v>
      </c>
      <c r="K128" s="3"/>
      <c r="L128" s="6"/>
      <c r="M128" s="20"/>
      <c r="O128" s="3"/>
      <c r="P128" s="3"/>
      <c r="Q128" s="3">
        <v>1</v>
      </c>
      <c r="R128" s="3"/>
      <c r="S128" s="3"/>
    </row>
    <row r="129" spans="1:19" ht="25" customHeight="1" x14ac:dyDescent="0.3">
      <c r="A129" s="3"/>
      <c r="B129" s="3" t="s">
        <v>1396</v>
      </c>
      <c r="C129" s="3" t="s">
        <v>86</v>
      </c>
      <c r="D129" s="3" t="s">
        <v>43</v>
      </c>
      <c r="E129" s="3">
        <v>24</v>
      </c>
      <c r="F129" s="3" t="s">
        <v>35</v>
      </c>
      <c r="G129" s="3" t="s">
        <v>24</v>
      </c>
      <c r="H129" s="3"/>
      <c r="I129" s="3"/>
      <c r="J129" s="24" t="s">
        <v>581</v>
      </c>
      <c r="K129" s="3"/>
      <c r="L129" s="6"/>
      <c r="M129" s="20"/>
      <c r="O129" s="3"/>
      <c r="P129" s="3">
        <v>1</v>
      </c>
      <c r="Q129" s="3"/>
      <c r="R129" s="3"/>
      <c r="S129" s="3"/>
    </row>
    <row r="130" spans="1:19" ht="25" customHeight="1" x14ac:dyDescent="0.3">
      <c r="A130" s="3"/>
      <c r="B130" s="3" t="s">
        <v>1397</v>
      </c>
      <c r="C130" s="3" t="s">
        <v>1398</v>
      </c>
      <c r="D130" s="3" t="s">
        <v>34</v>
      </c>
      <c r="E130" s="3">
        <v>28</v>
      </c>
      <c r="F130" s="3" t="s">
        <v>35</v>
      </c>
      <c r="G130" s="3" t="s">
        <v>64</v>
      </c>
      <c r="H130" s="3"/>
      <c r="I130" s="3"/>
      <c r="J130" s="24" t="s">
        <v>1418</v>
      </c>
      <c r="K130" s="3"/>
      <c r="L130" s="6"/>
      <c r="M130" s="20"/>
      <c r="O130" s="3"/>
      <c r="P130" s="3"/>
      <c r="Q130" s="3"/>
      <c r="R130" s="3">
        <v>1</v>
      </c>
      <c r="S130" s="3"/>
    </row>
    <row r="131" spans="1:19" ht="25" customHeight="1" x14ac:dyDescent="0.3">
      <c r="A131" s="3"/>
      <c r="B131" s="3" t="s">
        <v>1399</v>
      </c>
      <c r="C131" s="3" t="s">
        <v>458</v>
      </c>
      <c r="D131" s="3" t="s">
        <v>199</v>
      </c>
      <c r="E131" s="3">
        <v>27</v>
      </c>
      <c r="F131" s="3" t="s">
        <v>35</v>
      </c>
      <c r="G131" s="3" t="s">
        <v>24</v>
      </c>
      <c r="H131" s="3"/>
      <c r="I131" s="3"/>
      <c r="J131" s="24" t="s">
        <v>1419</v>
      </c>
      <c r="K131" s="3"/>
      <c r="L131" s="6"/>
      <c r="M131" s="20"/>
      <c r="O131" s="3"/>
      <c r="P131" s="3">
        <v>1</v>
      </c>
      <c r="Q131" s="3"/>
      <c r="R131" s="3"/>
      <c r="S131" s="3"/>
    </row>
    <row r="132" spans="1:19" ht="25" customHeight="1" x14ac:dyDescent="0.3">
      <c r="A132" s="3"/>
      <c r="B132" s="3" t="s">
        <v>1400</v>
      </c>
      <c r="C132" s="3" t="s">
        <v>1401</v>
      </c>
      <c r="D132" s="3" t="s">
        <v>1402</v>
      </c>
      <c r="E132" s="3">
        <v>25</v>
      </c>
      <c r="F132" s="3" t="s">
        <v>35</v>
      </c>
      <c r="G132" s="3" t="s">
        <v>24</v>
      </c>
      <c r="H132" s="3"/>
      <c r="I132" s="3"/>
      <c r="J132" s="24" t="s">
        <v>1420</v>
      </c>
      <c r="K132" s="3"/>
      <c r="L132" s="6"/>
      <c r="M132" s="20"/>
      <c r="O132" s="3"/>
      <c r="P132" s="3">
        <v>1</v>
      </c>
      <c r="Q132" s="3"/>
      <c r="R132" s="3"/>
      <c r="S132" s="3"/>
    </row>
    <row r="133" spans="1:19" ht="25" customHeight="1" x14ac:dyDescent="0.3">
      <c r="A133" s="3"/>
      <c r="B133" s="3" t="s">
        <v>394</v>
      </c>
      <c r="C133" s="3" t="s">
        <v>119</v>
      </c>
      <c r="D133" s="3" t="s">
        <v>1403</v>
      </c>
      <c r="E133" s="3">
        <v>26</v>
      </c>
      <c r="F133" s="3" t="s">
        <v>35</v>
      </c>
      <c r="G133" s="3" t="s">
        <v>24</v>
      </c>
      <c r="H133" s="3"/>
      <c r="I133" s="3"/>
      <c r="J133" s="24" t="s">
        <v>880</v>
      </c>
      <c r="K133" s="3"/>
      <c r="L133" s="6"/>
      <c r="M133" s="20"/>
      <c r="O133" s="3"/>
      <c r="P133" s="3">
        <v>1</v>
      </c>
      <c r="Q133" s="3"/>
      <c r="R133" s="3"/>
      <c r="S133" s="3"/>
    </row>
    <row r="134" spans="1:19" ht="25" customHeight="1" x14ac:dyDescent="0.3">
      <c r="A134" s="3"/>
      <c r="B134" s="3" t="s">
        <v>1394</v>
      </c>
      <c r="C134" s="3" t="s">
        <v>27</v>
      </c>
      <c r="D134" s="3" t="s">
        <v>59</v>
      </c>
      <c r="E134" s="3">
        <v>26</v>
      </c>
      <c r="F134" s="3" t="s">
        <v>35</v>
      </c>
      <c r="G134" s="3" t="s">
        <v>24</v>
      </c>
      <c r="H134" s="3"/>
      <c r="I134" s="3"/>
      <c r="J134" s="24" t="s">
        <v>1421</v>
      </c>
      <c r="K134" s="3"/>
      <c r="L134" s="6"/>
      <c r="M134" s="20"/>
      <c r="O134" s="3"/>
      <c r="P134" s="3">
        <v>1</v>
      </c>
      <c r="Q134" s="3"/>
      <c r="R134" s="3"/>
      <c r="S134" s="3"/>
    </row>
    <row r="135" spans="1:19" ht="25" customHeight="1" x14ac:dyDescent="0.3">
      <c r="A135" s="3"/>
      <c r="B135" s="3" t="s">
        <v>1404</v>
      </c>
      <c r="C135" s="3" t="s">
        <v>227</v>
      </c>
      <c r="D135" s="3" t="s">
        <v>227</v>
      </c>
      <c r="E135" s="3">
        <v>28</v>
      </c>
      <c r="F135" s="3" t="s">
        <v>35</v>
      </c>
      <c r="G135" s="3" t="s">
        <v>36</v>
      </c>
      <c r="H135" s="3"/>
      <c r="I135" s="3"/>
      <c r="J135" s="24" t="s">
        <v>565</v>
      </c>
      <c r="K135" s="3"/>
      <c r="L135" s="6"/>
      <c r="M135" s="20"/>
      <c r="O135" s="3"/>
      <c r="P135" s="3"/>
      <c r="Q135" s="3">
        <v>1</v>
      </c>
      <c r="R135" s="3"/>
      <c r="S135" s="3"/>
    </row>
    <row r="136" spans="1:19" ht="25" customHeight="1" x14ac:dyDescent="0.3">
      <c r="A136" s="3"/>
      <c r="B136" s="3" t="s">
        <v>1238</v>
      </c>
      <c r="C136" s="3" t="s">
        <v>1405</v>
      </c>
      <c r="D136" s="3" t="s">
        <v>1406</v>
      </c>
      <c r="E136" s="3">
        <v>33</v>
      </c>
      <c r="F136" s="3" t="s">
        <v>35</v>
      </c>
      <c r="G136" s="3" t="s">
        <v>36</v>
      </c>
      <c r="H136" s="3"/>
      <c r="I136" s="3"/>
      <c r="J136" s="24" t="s">
        <v>571</v>
      </c>
      <c r="K136" s="3"/>
      <c r="L136" s="6"/>
      <c r="M136" s="20"/>
      <c r="O136" s="3"/>
      <c r="P136" s="3"/>
      <c r="Q136" s="3">
        <v>1</v>
      </c>
      <c r="R136" s="3"/>
      <c r="S136" s="3"/>
    </row>
    <row r="137" spans="1:19" ht="25" customHeight="1" x14ac:dyDescent="0.3">
      <c r="A137" s="3"/>
      <c r="B137" s="3" t="s">
        <v>1407</v>
      </c>
      <c r="C137" s="3" t="s">
        <v>91</v>
      </c>
      <c r="D137" s="3" t="s">
        <v>157</v>
      </c>
      <c r="E137" s="3">
        <v>32</v>
      </c>
      <c r="F137" s="3" t="s">
        <v>35</v>
      </c>
      <c r="G137" s="3" t="s">
        <v>36</v>
      </c>
      <c r="H137" s="3"/>
      <c r="I137" s="3"/>
      <c r="J137" s="24" t="s">
        <v>565</v>
      </c>
      <c r="K137" s="3"/>
      <c r="L137" s="6"/>
      <c r="M137" s="20"/>
      <c r="O137" s="3"/>
      <c r="P137" s="3"/>
      <c r="Q137" s="3">
        <v>1</v>
      </c>
      <c r="R137" s="3"/>
      <c r="S137" s="3"/>
    </row>
    <row r="138" spans="1:19" ht="25" customHeight="1" x14ac:dyDescent="0.3">
      <c r="A138" s="3"/>
      <c r="B138" s="3" t="s">
        <v>158</v>
      </c>
      <c r="C138" s="3" t="s">
        <v>888</v>
      </c>
      <c r="D138" s="3" t="s">
        <v>34</v>
      </c>
      <c r="E138" s="3">
        <v>28</v>
      </c>
      <c r="F138" s="3" t="s">
        <v>35</v>
      </c>
      <c r="G138" s="3" t="s">
        <v>36</v>
      </c>
      <c r="H138" s="3"/>
      <c r="I138" s="3"/>
      <c r="J138" s="24" t="s">
        <v>1422</v>
      </c>
      <c r="K138" s="3"/>
      <c r="L138" s="6"/>
      <c r="M138" s="20"/>
      <c r="O138" s="3"/>
      <c r="P138" s="3"/>
      <c r="Q138" s="3">
        <v>1</v>
      </c>
      <c r="R138" s="3"/>
      <c r="S138" s="3"/>
    </row>
    <row r="139" spans="1:19" ht="25" customHeight="1" x14ac:dyDescent="0.3">
      <c r="A139" s="3"/>
      <c r="B139" s="3" t="s">
        <v>1408</v>
      </c>
      <c r="C139" s="3" t="s">
        <v>228</v>
      </c>
      <c r="D139" s="3" t="s">
        <v>227</v>
      </c>
      <c r="E139" s="3">
        <v>24</v>
      </c>
      <c r="F139" s="3" t="s">
        <v>35</v>
      </c>
      <c r="G139" s="3" t="s">
        <v>24</v>
      </c>
      <c r="H139" s="3"/>
      <c r="I139" s="3"/>
      <c r="J139" s="24" t="s">
        <v>1423</v>
      </c>
      <c r="K139" s="3"/>
      <c r="L139" s="6"/>
      <c r="M139" s="20"/>
      <c r="O139" s="3"/>
      <c r="P139" s="3">
        <v>1</v>
      </c>
      <c r="Q139" s="3"/>
      <c r="R139" s="3"/>
      <c r="S139" s="3"/>
    </row>
    <row r="140" spans="1:19" ht="25" customHeight="1" x14ac:dyDescent="0.3">
      <c r="A140" s="3"/>
      <c r="B140" s="3" t="s">
        <v>1409</v>
      </c>
      <c r="C140" s="3" t="s">
        <v>177</v>
      </c>
      <c r="D140" s="3" t="s">
        <v>359</v>
      </c>
      <c r="E140" s="3">
        <v>26</v>
      </c>
      <c r="F140" s="3" t="s">
        <v>35</v>
      </c>
      <c r="G140" s="3" t="s">
        <v>24</v>
      </c>
      <c r="H140" s="3"/>
      <c r="I140" s="3"/>
      <c r="J140" s="24" t="s">
        <v>1424</v>
      </c>
      <c r="K140" s="3"/>
      <c r="L140" s="6"/>
      <c r="M140" s="20"/>
      <c r="O140" s="3"/>
      <c r="P140" s="3">
        <v>1</v>
      </c>
      <c r="Q140" s="3"/>
      <c r="R140" s="3"/>
      <c r="S140" s="3"/>
    </row>
    <row r="141" spans="1:19" ht="25" customHeight="1" x14ac:dyDescent="0.3">
      <c r="A141" s="3"/>
      <c r="B141" s="3" t="s">
        <v>1410</v>
      </c>
      <c r="C141" s="3" t="s">
        <v>200</v>
      </c>
      <c r="D141" s="3" t="s">
        <v>189</v>
      </c>
      <c r="E141" s="3">
        <v>29</v>
      </c>
      <c r="F141" s="3" t="s">
        <v>35</v>
      </c>
      <c r="G141" s="3" t="s">
        <v>36</v>
      </c>
      <c r="H141" s="3"/>
      <c r="I141" s="3"/>
      <c r="J141" s="24" t="s">
        <v>1425</v>
      </c>
      <c r="K141" s="3"/>
      <c r="L141" s="6"/>
      <c r="M141" s="20"/>
      <c r="O141" s="3"/>
      <c r="P141" s="3"/>
      <c r="Q141" s="3">
        <v>1</v>
      </c>
      <c r="R141" s="3"/>
      <c r="S141" s="3"/>
    </row>
    <row r="142" spans="1:19" ht="25" customHeight="1" x14ac:dyDescent="0.3">
      <c r="A142" s="3"/>
      <c r="B142" s="3" t="s">
        <v>1411</v>
      </c>
      <c r="C142" s="3" t="s">
        <v>634</v>
      </c>
      <c r="D142" s="3" t="s">
        <v>88</v>
      </c>
      <c r="E142" s="3">
        <v>31</v>
      </c>
      <c r="F142" s="3" t="s">
        <v>35</v>
      </c>
      <c r="G142" s="3" t="s">
        <v>24</v>
      </c>
      <c r="H142" s="3"/>
      <c r="I142" s="3"/>
      <c r="J142" s="24" t="s">
        <v>1425</v>
      </c>
      <c r="K142" s="3"/>
      <c r="L142" s="6"/>
      <c r="M142" s="20"/>
      <c r="O142" s="3"/>
      <c r="P142" s="3">
        <v>1</v>
      </c>
      <c r="Q142" s="3"/>
      <c r="R142" s="3"/>
      <c r="S142" s="3"/>
    </row>
    <row r="143" spans="1:19" ht="25" customHeight="1" x14ac:dyDescent="0.3">
      <c r="A143" s="3"/>
      <c r="B143" s="3" t="s">
        <v>1412</v>
      </c>
      <c r="C143" s="3" t="s">
        <v>1413</v>
      </c>
      <c r="D143" s="3" t="s">
        <v>1414</v>
      </c>
      <c r="E143" s="3">
        <v>33</v>
      </c>
      <c r="F143" s="3" t="s">
        <v>35</v>
      </c>
      <c r="G143" s="3" t="s">
        <v>64</v>
      </c>
      <c r="H143" s="3"/>
      <c r="I143" s="3"/>
      <c r="J143" s="24" t="s">
        <v>952</v>
      </c>
      <c r="K143" s="3"/>
      <c r="L143" s="6"/>
      <c r="M143" s="20"/>
      <c r="O143" s="3"/>
      <c r="P143" s="3"/>
      <c r="Q143" s="3"/>
      <c r="R143" s="3">
        <v>1</v>
      </c>
      <c r="S143" s="3"/>
    </row>
    <row r="144" spans="1:19" ht="25" customHeight="1" x14ac:dyDescent="0.3">
      <c r="A144" s="3"/>
      <c r="B144" s="3" t="s">
        <v>1415</v>
      </c>
      <c r="C144" s="3" t="s">
        <v>34</v>
      </c>
      <c r="D144" s="3" t="s">
        <v>818</v>
      </c>
      <c r="E144" s="3">
        <v>25</v>
      </c>
      <c r="F144" s="3" t="s">
        <v>35</v>
      </c>
      <c r="G144" s="3" t="s">
        <v>36</v>
      </c>
      <c r="H144" s="3"/>
      <c r="I144" s="3"/>
      <c r="J144" s="24" t="s">
        <v>920</v>
      </c>
      <c r="K144" s="3"/>
      <c r="L144" s="6"/>
      <c r="M144" s="20"/>
      <c r="O144" s="3"/>
      <c r="P144" s="3"/>
      <c r="Q144" s="3">
        <v>1</v>
      </c>
      <c r="R144" s="3"/>
      <c r="S144" s="3"/>
    </row>
    <row r="145" spans="1:19" ht="25" customHeight="1" x14ac:dyDescent="0.3">
      <c r="A145" s="3"/>
      <c r="B145" s="3" t="s">
        <v>1477</v>
      </c>
      <c r="C145" s="3" t="s">
        <v>359</v>
      </c>
      <c r="D145" s="3" t="s">
        <v>1478</v>
      </c>
      <c r="E145" s="3">
        <v>31</v>
      </c>
      <c r="F145" s="3" t="s">
        <v>35</v>
      </c>
      <c r="G145" s="3" t="s">
        <v>24</v>
      </c>
      <c r="H145" s="3"/>
      <c r="I145" s="3"/>
      <c r="J145" s="3" t="s">
        <v>1476</v>
      </c>
      <c r="K145" s="3"/>
      <c r="L145" s="6"/>
      <c r="M145" s="20"/>
      <c r="O145" s="3"/>
      <c r="P145" s="3">
        <v>1</v>
      </c>
      <c r="Q145" s="3"/>
      <c r="R145" s="3"/>
      <c r="S145" s="3"/>
    </row>
    <row r="146" spans="1:19" ht="25" customHeight="1" x14ac:dyDescent="0.3">
      <c r="A146" s="3"/>
      <c r="B146" s="3" t="s">
        <v>1479</v>
      </c>
      <c r="C146" s="3" t="s">
        <v>137</v>
      </c>
      <c r="D146" s="3" t="s">
        <v>339</v>
      </c>
      <c r="E146" s="3">
        <v>27</v>
      </c>
      <c r="F146" s="3" t="s">
        <v>35</v>
      </c>
      <c r="G146" s="3" t="s">
        <v>29</v>
      </c>
      <c r="H146" s="3"/>
      <c r="I146" s="3"/>
      <c r="J146" s="3" t="s">
        <v>1476</v>
      </c>
      <c r="K146" s="3"/>
      <c r="L146" s="6"/>
      <c r="M146" s="20"/>
      <c r="O146" s="3">
        <v>1</v>
      </c>
      <c r="P146" s="3"/>
      <c r="Q146" s="3"/>
      <c r="R146" s="3"/>
      <c r="S146" s="3"/>
    </row>
    <row r="147" spans="1:19" ht="25" customHeight="1" x14ac:dyDescent="0.3">
      <c r="A147" s="3"/>
      <c r="B147" s="3" t="s">
        <v>1480</v>
      </c>
      <c r="C147" s="3" t="s">
        <v>1481</v>
      </c>
      <c r="D147" s="3" t="s">
        <v>1482</v>
      </c>
      <c r="E147" s="3">
        <v>24</v>
      </c>
      <c r="F147" s="3" t="s">
        <v>35</v>
      </c>
      <c r="G147" s="3" t="s">
        <v>29</v>
      </c>
      <c r="H147" s="3"/>
      <c r="I147" s="3"/>
      <c r="J147" s="3" t="s">
        <v>1476</v>
      </c>
      <c r="K147" s="3"/>
      <c r="L147" s="6"/>
      <c r="M147" s="20"/>
      <c r="O147" s="3">
        <v>1</v>
      </c>
      <c r="P147" s="3"/>
      <c r="Q147" s="3"/>
      <c r="R147" s="3"/>
      <c r="S147" s="3"/>
    </row>
    <row r="148" spans="1:19" ht="25" customHeight="1" x14ac:dyDescent="0.3">
      <c r="A148" s="3"/>
      <c r="B148" s="3" t="s">
        <v>573</v>
      </c>
      <c r="C148" s="3" t="s">
        <v>1483</v>
      </c>
      <c r="D148" s="3" t="s">
        <v>1484</v>
      </c>
      <c r="E148" s="3">
        <v>33</v>
      </c>
      <c r="F148" s="3" t="s">
        <v>35</v>
      </c>
      <c r="G148" s="3" t="s">
        <v>24</v>
      </c>
      <c r="H148" s="3"/>
      <c r="I148" s="3"/>
      <c r="J148" s="3" t="s">
        <v>1476</v>
      </c>
      <c r="K148" s="3"/>
      <c r="L148" s="6"/>
      <c r="M148" s="20"/>
      <c r="O148" s="3"/>
      <c r="P148" s="3">
        <v>1</v>
      </c>
      <c r="Q148" s="3"/>
      <c r="R148" s="3"/>
      <c r="S148" s="3"/>
    </row>
    <row r="149" spans="1:19" ht="25" customHeight="1" x14ac:dyDescent="0.3">
      <c r="A149" s="3"/>
      <c r="B149" s="3" t="s">
        <v>394</v>
      </c>
      <c r="C149" s="3" t="s">
        <v>306</v>
      </c>
      <c r="D149" s="3" t="s">
        <v>464</v>
      </c>
      <c r="E149" s="3">
        <v>33</v>
      </c>
      <c r="F149" s="3" t="s">
        <v>35</v>
      </c>
      <c r="G149" s="3" t="s">
        <v>36</v>
      </c>
      <c r="H149" s="3"/>
      <c r="I149" s="3"/>
      <c r="J149" s="3" t="s">
        <v>1476</v>
      </c>
      <c r="K149" s="3"/>
      <c r="L149" s="6"/>
      <c r="M149" s="20"/>
      <c r="O149" s="3"/>
      <c r="P149" s="3"/>
      <c r="Q149" s="3">
        <v>1</v>
      </c>
      <c r="R149" s="3"/>
      <c r="S149" s="3"/>
    </row>
    <row r="150" spans="1:19" ht="25" customHeight="1" x14ac:dyDescent="0.3">
      <c r="A150" s="3"/>
      <c r="B150" s="3" t="s">
        <v>1485</v>
      </c>
      <c r="C150" s="3" t="s">
        <v>599</v>
      </c>
      <c r="D150" s="3" t="s">
        <v>1414</v>
      </c>
      <c r="E150" s="3">
        <v>34</v>
      </c>
      <c r="F150" s="3" t="s">
        <v>35</v>
      </c>
      <c r="G150" s="3" t="s">
        <v>24</v>
      </c>
      <c r="H150" s="3"/>
      <c r="I150" s="3"/>
      <c r="J150" s="3" t="s">
        <v>1476</v>
      </c>
      <c r="K150" s="3"/>
      <c r="L150" s="6"/>
      <c r="M150" s="20"/>
      <c r="O150" s="3"/>
      <c r="P150" s="3">
        <v>1</v>
      </c>
      <c r="Q150" s="3"/>
      <c r="R150" s="3"/>
      <c r="S150" s="3"/>
    </row>
    <row r="151" spans="1:19" ht="25" customHeight="1" x14ac:dyDescent="0.3">
      <c r="A151" s="3"/>
      <c r="B151" s="3" t="s">
        <v>1486</v>
      </c>
      <c r="C151" s="3" t="s">
        <v>1487</v>
      </c>
      <c r="D151" s="3" t="s">
        <v>203</v>
      </c>
      <c r="E151" s="3">
        <v>36</v>
      </c>
      <c r="F151" s="3" t="s">
        <v>35</v>
      </c>
      <c r="G151" s="3" t="s">
        <v>36</v>
      </c>
      <c r="H151" s="3"/>
      <c r="I151" s="3"/>
      <c r="J151" s="3" t="s">
        <v>1476</v>
      </c>
      <c r="K151" s="3"/>
      <c r="L151" s="6"/>
      <c r="M151" s="20"/>
      <c r="O151" s="3"/>
      <c r="P151" s="3"/>
      <c r="Q151" s="3">
        <v>1</v>
      </c>
      <c r="R151" s="3"/>
      <c r="S151" s="3"/>
    </row>
    <row r="152" spans="1:19" ht="25" customHeight="1" x14ac:dyDescent="0.3">
      <c r="A152" s="3"/>
      <c r="B152" s="3" t="s">
        <v>1488</v>
      </c>
      <c r="C152" s="3" t="s">
        <v>91</v>
      </c>
      <c r="D152" s="3" t="s">
        <v>43</v>
      </c>
      <c r="E152" s="3">
        <v>29</v>
      </c>
      <c r="F152" s="3" t="s">
        <v>35</v>
      </c>
      <c r="G152" s="3" t="s">
        <v>29</v>
      </c>
      <c r="H152" s="3"/>
      <c r="I152" s="3"/>
      <c r="J152" s="3" t="s">
        <v>1476</v>
      </c>
      <c r="K152" s="3"/>
      <c r="L152" s="6"/>
      <c r="M152" s="20"/>
      <c r="O152" s="3">
        <v>1</v>
      </c>
      <c r="P152" s="3"/>
      <c r="Q152" s="3"/>
      <c r="R152" s="3"/>
      <c r="S152" s="3"/>
    </row>
    <row r="153" spans="1:19" ht="25" customHeight="1" x14ac:dyDescent="0.3">
      <c r="A153" s="3"/>
      <c r="B153" s="3" t="s">
        <v>1477</v>
      </c>
      <c r="C153" s="3" t="s">
        <v>43</v>
      </c>
      <c r="D153" s="3" t="s">
        <v>1469</v>
      </c>
      <c r="E153" s="3">
        <v>29</v>
      </c>
      <c r="F153" s="3" t="s">
        <v>35</v>
      </c>
      <c r="G153" s="3" t="s">
        <v>24</v>
      </c>
      <c r="H153" s="3"/>
      <c r="I153" s="3"/>
      <c r="J153" s="3" t="s">
        <v>1476</v>
      </c>
      <c r="K153" s="3"/>
      <c r="L153" s="6"/>
      <c r="M153" s="20"/>
      <c r="O153" s="3"/>
      <c r="P153" s="3">
        <v>1</v>
      </c>
      <c r="Q153" s="3"/>
      <c r="R153" s="3"/>
      <c r="S153" s="3"/>
    </row>
    <row r="154" spans="1:19" ht="25" customHeight="1" x14ac:dyDescent="0.3">
      <c r="A154" s="3"/>
      <c r="B154" s="3" t="s">
        <v>456</v>
      </c>
      <c r="C154" s="3" t="s">
        <v>112</v>
      </c>
      <c r="D154" s="3" t="s">
        <v>1489</v>
      </c>
      <c r="E154" s="3">
        <v>30</v>
      </c>
      <c r="F154" s="3" t="s">
        <v>35</v>
      </c>
      <c r="G154" s="3" t="s">
        <v>24</v>
      </c>
      <c r="H154" s="3"/>
      <c r="I154" s="3"/>
      <c r="J154" s="3" t="s">
        <v>1476</v>
      </c>
      <c r="K154" s="3"/>
      <c r="L154" s="6"/>
      <c r="M154" s="20"/>
      <c r="O154" s="3"/>
      <c r="P154" s="3">
        <v>1</v>
      </c>
      <c r="Q154" s="3"/>
      <c r="R154" s="3"/>
      <c r="S154" s="3"/>
    </row>
    <row r="155" spans="1:19" ht="25" customHeight="1" x14ac:dyDescent="0.3">
      <c r="A155" s="3"/>
      <c r="B155" s="3" t="s">
        <v>1490</v>
      </c>
      <c r="C155" s="3" t="s">
        <v>339</v>
      </c>
      <c r="D155" s="3" t="s">
        <v>99</v>
      </c>
      <c r="E155" s="3">
        <v>26</v>
      </c>
      <c r="F155" s="3" t="s">
        <v>35</v>
      </c>
      <c r="G155" s="3" t="s">
        <v>24</v>
      </c>
      <c r="H155" s="3"/>
      <c r="I155" s="3"/>
      <c r="J155" s="3" t="s">
        <v>1476</v>
      </c>
      <c r="K155" s="3"/>
      <c r="L155" s="6"/>
      <c r="M155" s="20"/>
      <c r="O155" s="3"/>
      <c r="P155" s="3">
        <v>1</v>
      </c>
      <c r="Q155" s="3"/>
      <c r="R155" s="3"/>
      <c r="S155" s="3"/>
    </row>
    <row r="156" spans="1:19" ht="25" customHeight="1" x14ac:dyDescent="0.3">
      <c r="A156" s="3"/>
      <c r="B156" s="3" t="s">
        <v>1491</v>
      </c>
      <c r="C156" s="3" t="s">
        <v>1299</v>
      </c>
      <c r="D156" s="3" t="s">
        <v>27</v>
      </c>
      <c r="E156" s="3">
        <v>25</v>
      </c>
      <c r="F156" s="3" t="s">
        <v>35</v>
      </c>
      <c r="G156" s="3" t="s">
        <v>24</v>
      </c>
      <c r="H156" s="3"/>
      <c r="I156" s="3"/>
      <c r="J156" s="3" t="s">
        <v>1476</v>
      </c>
      <c r="K156" s="3"/>
      <c r="L156" s="6"/>
      <c r="M156" s="20"/>
      <c r="O156" s="3"/>
      <c r="P156" s="3">
        <v>1</v>
      </c>
      <c r="Q156" s="3"/>
      <c r="R156" s="3"/>
      <c r="S156" s="3"/>
    </row>
    <row r="157" spans="1:19" ht="25" customHeight="1" x14ac:dyDescent="0.3">
      <c r="A157" s="3"/>
      <c r="B157" s="3" t="s">
        <v>1492</v>
      </c>
      <c r="C157" s="3" t="s">
        <v>203</v>
      </c>
      <c r="D157" s="3" t="s">
        <v>222</v>
      </c>
      <c r="E157" s="3">
        <v>32</v>
      </c>
      <c r="F157" s="3" t="s">
        <v>35</v>
      </c>
      <c r="G157" s="3" t="s">
        <v>36</v>
      </c>
      <c r="H157" s="3"/>
      <c r="I157" s="3"/>
      <c r="J157" s="3" t="s">
        <v>1476</v>
      </c>
      <c r="K157" s="3"/>
      <c r="L157" s="6"/>
      <c r="M157" s="20"/>
      <c r="O157" s="3"/>
      <c r="P157" s="3"/>
      <c r="Q157" s="3">
        <v>1</v>
      </c>
      <c r="R157" s="3"/>
      <c r="S157" s="3"/>
    </row>
    <row r="158" spans="1:19" ht="25" customHeight="1" x14ac:dyDescent="0.3">
      <c r="A158" s="3"/>
      <c r="B158" s="3" t="s">
        <v>1493</v>
      </c>
      <c r="C158" s="3" t="s">
        <v>433</v>
      </c>
      <c r="D158" s="3" t="s">
        <v>1494</v>
      </c>
      <c r="E158" s="3">
        <v>29</v>
      </c>
      <c r="F158" s="3" t="s">
        <v>35</v>
      </c>
      <c r="G158" s="3" t="s">
        <v>24</v>
      </c>
      <c r="H158" s="3"/>
      <c r="I158" s="3"/>
      <c r="J158" s="3" t="s">
        <v>1476</v>
      </c>
      <c r="K158" s="3"/>
      <c r="L158" s="6"/>
      <c r="M158" s="20"/>
      <c r="O158" s="3"/>
      <c r="P158" s="3">
        <v>1</v>
      </c>
      <c r="Q158" s="3"/>
      <c r="R158" s="3"/>
      <c r="S158" s="3"/>
    </row>
    <row r="159" spans="1:19" ht="25" customHeight="1" x14ac:dyDescent="0.3">
      <c r="A159" s="3"/>
      <c r="B159" s="3" t="s">
        <v>1250</v>
      </c>
      <c r="C159" s="3" t="s">
        <v>111</v>
      </c>
      <c r="D159" s="3" t="s">
        <v>201</v>
      </c>
      <c r="E159" s="3">
        <v>30</v>
      </c>
      <c r="F159" s="3" t="s">
        <v>35</v>
      </c>
      <c r="G159" s="3" t="s">
        <v>24</v>
      </c>
      <c r="H159" s="3"/>
      <c r="I159" s="3"/>
      <c r="J159" s="3" t="s">
        <v>1476</v>
      </c>
      <c r="K159" s="3"/>
      <c r="L159" s="6"/>
      <c r="M159" s="20"/>
      <c r="O159" s="3"/>
      <c r="P159" s="3">
        <v>1</v>
      </c>
      <c r="Q159" s="3"/>
      <c r="R159" s="3"/>
      <c r="S159" s="3"/>
    </row>
    <row r="160" spans="1:19" ht="25" customHeight="1" x14ac:dyDescent="0.3">
      <c r="A160" s="3"/>
      <c r="B160" s="3" t="s">
        <v>1495</v>
      </c>
      <c r="C160" s="3" t="s">
        <v>327</v>
      </c>
      <c r="D160" s="3" t="s">
        <v>88</v>
      </c>
      <c r="E160" s="3">
        <v>28</v>
      </c>
      <c r="F160" s="3" t="s">
        <v>35</v>
      </c>
      <c r="G160" s="3" t="s">
        <v>36</v>
      </c>
      <c r="H160" s="3"/>
      <c r="I160" s="3"/>
      <c r="J160" s="3" t="s">
        <v>1476</v>
      </c>
      <c r="K160" s="3"/>
      <c r="L160" s="6"/>
      <c r="M160" s="20"/>
      <c r="O160" s="3"/>
      <c r="P160" s="3"/>
      <c r="Q160" s="3">
        <v>1</v>
      </c>
      <c r="R160" s="3"/>
      <c r="S160" s="3"/>
    </row>
    <row r="161" spans="1:19" ht="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24"/>
      <c r="K161" s="3"/>
      <c r="L161" s="6"/>
      <c r="M161" s="20"/>
      <c r="O161" s="3"/>
      <c r="P161" s="3"/>
      <c r="Q161" s="3"/>
      <c r="R161" s="3"/>
      <c r="S161" s="3"/>
    </row>
    <row r="162" spans="1:19" ht="25" customHeight="1" x14ac:dyDescent="0.3">
      <c r="A162" s="3"/>
      <c r="B162" s="3" t="s">
        <v>1507</v>
      </c>
      <c r="C162" s="3" t="s">
        <v>342</v>
      </c>
      <c r="D162" s="3" t="s">
        <v>1508</v>
      </c>
      <c r="E162" s="3">
        <v>24</v>
      </c>
      <c r="F162" s="3"/>
      <c r="G162" s="3" t="s">
        <v>24</v>
      </c>
      <c r="H162" s="3"/>
      <c r="I162" s="3"/>
      <c r="J162" s="24" t="s">
        <v>1506</v>
      </c>
      <c r="K162" s="3"/>
      <c r="L162" s="6"/>
      <c r="M162" s="20"/>
      <c r="O162" s="3"/>
      <c r="P162" s="3">
        <v>1</v>
      </c>
      <c r="Q162" s="3"/>
      <c r="R162" s="3"/>
      <c r="S162" s="3"/>
    </row>
    <row r="163" spans="1:19" ht="25" customHeight="1" x14ac:dyDescent="0.3">
      <c r="A163" s="3"/>
      <c r="B163" s="3" t="s">
        <v>1509</v>
      </c>
      <c r="C163" s="3" t="s">
        <v>753</v>
      </c>
      <c r="D163" s="3" t="s">
        <v>1345</v>
      </c>
      <c r="E163" s="3">
        <v>32</v>
      </c>
      <c r="F163" s="3"/>
      <c r="G163" s="3" t="s">
        <v>24</v>
      </c>
      <c r="H163" s="3"/>
      <c r="I163" s="3"/>
      <c r="J163" s="24" t="s">
        <v>1510</v>
      </c>
      <c r="K163" s="3"/>
      <c r="L163" s="6"/>
      <c r="M163" s="20"/>
      <c r="O163" s="3"/>
      <c r="P163" s="3">
        <v>1</v>
      </c>
      <c r="Q163" s="3"/>
      <c r="R163" s="3"/>
      <c r="S163" s="3"/>
    </row>
    <row r="164" spans="1:19" ht="25" customHeight="1" x14ac:dyDescent="0.3">
      <c r="A164" s="3"/>
      <c r="B164" s="3" t="s">
        <v>1511</v>
      </c>
      <c r="C164" s="3" t="s">
        <v>166</v>
      </c>
      <c r="D164" s="3" t="s">
        <v>88</v>
      </c>
      <c r="E164" s="3">
        <v>29</v>
      </c>
      <c r="F164" s="3"/>
      <c r="G164" s="3" t="s">
        <v>24</v>
      </c>
      <c r="H164" s="3"/>
      <c r="I164" s="3"/>
      <c r="J164" s="24" t="s">
        <v>1512</v>
      </c>
      <c r="K164" s="3"/>
      <c r="L164" s="6"/>
      <c r="M164" s="20"/>
      <c r="O164" s="3"/>
      <c r="P164" s="3">
        <v>1</v>
      </c>
      <c r="Q164" s="3"/>
      <c r="R164" s="3"/>
      <c r="S164" s="3"/>
    </row>
    <row r="165" spans="1:19" ht="25" customHeight="1" x14ac:dyDescent="0.3">
      <c r="A165" s="3"/>
      <c r="B165" s="3" t="s">
        <v>1526</v>
      </c>
      <c r="C165" s="3" t="s">
        <v>91</v>
      </c>
      <c r="D165" s="3" t="s">
        <v>206</v>
      </c>
      <c r="E165" s="3">
        <v>35</v>
      </c>
      <c r="F165" s="3"/>
      <c r="G165" s="3" t="s">
        <v>24</v>
      </c>
      <c r="H165" s="3"/>
      <c r="I165" s="3"/>
      <c r="J165" s="24" t="s">
        <v>1527</v>
      </c>
      <c r="K165" s="3"/>
      <c r="L165" s="6"/>
      <c r="M165" s="20"/>
      <c r="O165" s="3"/>
      <c r="P165" s="3">
        <v>1</v>
      </c>
      <c r="Q165" s="3"/>
      <c r="R165" s="3"/>
      <c r="S165" s="3"/>
    </row>
    <row r="166" spans="1:19" ht="25" customHeight="1" x14ac:dyDescent="0.3">
      <c r="A166" s="3"/>
      <c r="B166" s="40" t="s">
        <v>1535</v>
      </c>
      <c r="C166" s="40" t="s">
        <v>177</v>
      </c>
      <c r="D166" s="40" t="s">
        <v>111</v>
      </c>
      <c r="E166" s="3">
        <v>29</v>
      </c>
      <c r="F166" s="3"/>
      <c r="G166" s="3" t="s">
        <v>24</v>
      </c>
      <c r="H166" s="3"/>
      <c r="I166" s="3"/>
      <c r="J166" s="40" t="s">
        <v>1529</v>
      </c>
      <c r="K166" s="3"/>
      <c r="L166" s="6"/>
      <c r="M166" s="20"/>
      <c r="O166" s="3"/>
      <c r="P166" s="3">
        <v>1</v>
      </c>
      <c r="Q166" s="3"/>
      <c r="R166" s="3"/>
      <c r="S166" s="3"/>
    </row>
    <row r="167" spans="1:19" ht="25" customHeight="1" x14ac:dyDescent="0.3">
      <c r="A167" s="3"/>
      <c r="B167" s="3" t="s">
        <v>1547</v>
      </c>
      <c r="C167" s="3" t="s">
        <v>1548</v>
      </c>
      <c r="D167" s="3" t="s">
        <v>1549</v>
      </c>
      <c r="E167" s="3">
        <v>32</v>
      </c>
      <c r="F167" s="3"/>
      <c r="G167" s="3" t="s">
        <v>36</v>
      </c>
      <c r="H167" s="3"/>
      <c r="I167" s="3"/>
      <c r="J167" s="24" t="s">
        <v>1550</v>
      </c>
      <c r="K167" s="3"/>
      <c r="L167" s="6"/>
      <c r="M167" s="20"/>
      <c r="O167" s="3"/>
      <c r="P167" s="3"/>
      <c r="Q167" s="3">
        <v>1</v>
      </c>
      <c r="R167" s="3"/>
      <c r="S167" s="3"/>
    </row>
    <row r="168" spans="1:19" ht="25" customHeight="1" x14ac:dyDescent="0.3">
      <c r="A168" s="3"/>
      <c r="B168" s="3" t="s">
        <v>1565</v>
      </c>
      <c r="C168" s="3" t="s">
        <v>339</v>
      </c>
      <c r="D168" s="3" t="s">
        <v>1566</v>
      </c>
      <c r="E168" s="3">
        <v>27</v>
      </c>
      <c r="F168" s="3"/>
      <c r="G168" s="3" t="s">
        <v>36</v>
      </c>
      <c r="H168" s="3"/>
      <c r="I168" s="3"/>
      <c r="J168" s="24" t="s">
        <v>1567</v>
      </c>
      <c r="K168" s="3"/>
      <c r="L168" s="6"/>
      <c r="M168" s="20"/>
      <c r="O168" s="3"/>
      <c r="P168" s="3"/>
      <c r="Q168" s="3">
        <v>1</v>
      </c>
      <c r="R168" s="3"/>
      <c r="S168" s="3"/>
    </row>
    <row r="169" spans="1:19" ht="25" customHeight="1" x14ac:dyDescent="0.3">
      <c r="A169" s="3"/>
      <c r="B169" s="3" t="s">
        <v>1568</v>
      </c>
      <c r="C169" s="3" t="s">
        <v>1569</v>
      </c>
      <c r="D169" s="3" t="s">
        <v>1570</v>
      </c>
      <c r="E169" s="3">
        <v>25</v>
      </c>
      <c r="F169" s="3"/>
      <c r="G169" s="3" t="s">
        <v>24</v>
      </c>
      <c r="H169" s="3"/>
      <c r="I169" s="3"/>
      <c r="J169" s="24" t="s">
        <v>1571</v>
      </c>
      <c r="K169" s="3"/>
      <c r="L169" s="6"/>
      <c r="M169" s="20"/>
      <c r="O169" s="3"/>
      <c r="P169" s="3">
        <v>1</v>
      </c>
      <c r="Q169" s="3"/>
      <c r="R169" s="3"/>
      <c r="S169" s="3"/>
    </row>
    <row r="170" spans="1:19" ht="25" customHeight="1" x14ac:dyDescent="0.3">
      <c r="A170" s="3"/>
      <c r="B170" s="3" t="s">
        <v>1584</v>
      </c>
      <c r="C170" s="3" t="s">
        <v>1582</v>
      </c>
      <c r="D170" s="3" t="s">
        <v>1583</v>
      </c>
      <c r="E170" s="3">
        <v>33</v>
      </c>
      <c r="F170" s="3"/>
      <c r="G170" s="3" t="s">
        <v>36</v>
      </c>
      <c r="H170" s="3"/>
      <c r="I170" s="3"/>
      <c r="J170" s="24" t="s">
        <v>1585</v>
      </c>
      <c r="K170" s="3"/>
      <c r="L170" s="6"/>
      <c r="M170" s="20"/>
      <c r="O170" s="3"/>
      <c r="P170" s="3"/>
      <c r="Q170" s="3">
        <v>1</v>
      </c>
      <c r="R170" s="3"/>
      <c r="S170" s="3"/>
    </row>
    <row r="171" spans="1:19" ht="25" customHeight="1" x14ac:dyDescent="0.3">
      <c r="A171" s="3"/>
      <c r="B171" s="3" t="s">
        <v>1586</v>
      </c>
      <c r="C171" s="3" t="s">
        <v>1587</v>
      </c>
      <c r="D171" s="3" t="s">
        <v>1588</v>
      </c>
      <c r="E171" s="3">
        <v>34</v>
      </c>
      <c r="F171" s="3"/>
      <c r="G171" s="3" t="s">
        <v>24</v>
      </c>
      <c r="H171" s="3"/>
      <c r="I171" s="3"/>
      <c r="J171" s="24"/>
      <c r="K171" s="3"/>
      <c r="L171" s="6"/>
      <c r="M171" s="20"/>
      <c r="O171" s="3"/>
      <c r="P171" s="3">
        <v>1</v>
      </c>
      <c r="Q171" s="3"/>
      <c r="R171" s="3"/>
      <c r="S171" s="3"/>
    </row>
    <row r="172" spans="1:19" ht="25" customHeight="1" x14ac:dyDescent="0.3">
      <c r="A172" s="3"/>
      <c r="B172" s="3" t="s">
        <v>1589</v>
      </c>
      <c r="C172" s="3" t="s">
        <v>1590</v>
      </c>
      <c r="D172" s="3" t="s">
        <v>1522</v>
      </c>
      <c r="E172" s="3">
        <v>26</v>
      </c>
      <c r="F172" s="3"/>
      <c r="G172" s="3" t="s">
        <v>64</v>
      </c>
      <c r="H172" s="3"/>
      <c r="I172" s="3"/>
      <c r="J172" s="24"/>
      <c r="K172" s="3"/>
      <c r="L172" s="6"/>
      <c r="M172" s="20"/>
      <c r="O172" s="3"/>
      <c r="P172" s="3"/>
      <c r="Q172" s="3"/>
      <c r="R172" s="3">
        <v>1</v>
      </c>
      <c r="S172" s="3"/>
    </row>
    <row r="173" spans="1:19" ht="25" customHeight="1" x14ac:dyDescent="0.3">
      <c r="A173" s="3"/>
      <c r="B173" s="3" t="s">
        <v>1601</v>
      </c>
      <c r="C173" s="3" t="s">
        <v>499</v>
      </c>
      <c r="D173" s="3" t="s">
        <v>259</v>
      </c>
      <c r="E173" s="3">
        <v>28</v>
      </c>
      <c r="F173" s="3"/>
      <c r="G173" s="3" t="s">
        <v>24</v>
      </c>
      <c r="H173" s="3"/>
      <c r="I173" s="3"/>
      <c r="J173" s="24"/>
      <c r="K173" s="3"/>
      <c r="L173" s="6"/>
      <c r="M173" s="20"/>
      <c r="O173" s="3"/>
      <c r="P173" s="3">
        <v>1</v>
      </c>
      <c r="Q173" s="3"/>
      <c r="R173" s="3"/>
      <c r="S173" s="3"/>
    </row>
    <row r="174" spans="1:19" ht="25" customHeight="1" x14ac:dyDescent="0.3">
      <c r="A174" s="3"/>
      <c r="B174" s="3" t="s">
        <v>1479</v>
      </c>
      <c r="C174" s="3" t="s">
        <v>1602</v>
      </c>
      <c r="D174" s="3" t="s">
        <v>1603</v>
      </c>
      <c r="E174" s="3">
        <v>29</v>
      </c>
      <c r="F174" s="3"/>
      <c r="G174" s="3" t="s">
        <v>64</v>
      </c>
      <c r="H174" s="3"/>
      <c r="I174" s="3"/>
      <c r="J174" s="24" t="s">
        <v>1604</v>
      </c>
      <c r="K174" s="3"/>
      <c r="L174" s="6"/>
      <c r="M174" s="20"/>
      <c r="O174" s="3"/>
      <c r="P174" s="3"/>
      <c r="Q174" s="3"/>
      <c r="R174" s="3">
        <v>1</v>
      </c>
      <c r="S174" s="3"/>
    </row>
    <row r="175" spans="1:19" ht="25" customHeight="1" x14ac:dyDescent="0.3">
      <c r="A175" s="3"/>
      <c r="B175" s="3" t="s">
        <v>1612</v>
      </c>
      <c r="C175" s="3" t="s">
        <v>1613</v>
      </c>
      <c r="D175" s="3" t="s">
        <v>1614</v>
      </c>
      <c r="E175" s="3">
        <v>24</v>
      </c>
      <c r="F175" s="3"/>
      <c r="G175" s="3" t="s">
        <v>36</v>
      </c>
      <c r="H175" s="3"/>
      <c r="I175" s="3"/>
      <c r="J175" s="24" t="s">
        <v>1615</v>
      </c>
      <c r="K175" s="3"/>
      <c r="L175" s="6"/>
      <c r="M175" s="20"/>
      <c r="O175" s="3"/>
      <c r="P175" s="3"/>
      <c r="Q175" s="3">
        <v>1</v>
      </c>
      <c r="R175" s="3"/>
      <c r="S175" s="3"/>
    </row>
    <row r="176" spans="1:19" ht="25" customHeight="1" x14ac:dyDescent="0.3">
      <c r="A176" s="3"/>
      <c r="B176" s="3" t="s">
        <v>1619</v>
      </c>
      <c r="C176" s="3" t="s">
        <v>668</v>
      </c>
      <c r="D176" s="3" t="s">
        <v>1620</v>
      </c>
      <c r="E176" s="3">
        <v>25</v>
      </c>
      <c r="F176" s="3"/>
      <c r="G176" s="3" t="s">
        <v>36</v>
      </c>
      <c r="H176" s="3"/>
      <c r="I176" s="3"/>
      <c r="J176" s="24" t="s">
        <v>1621</v>
      </c>
      <c r="K176" s="3"/>
      <c r="L176" s="6"/>
      <c r="M176" s="20"/>
      <c r="O176" s="3"/>
      <c r="P176" s="3"/>
      <c r="Q176" s="3">
        <v>1</v>
      </c>
      <c r="R176" s="3"/>
      <c r="S176" s="3"/>
    </row>
    <row r="177" spans="1:19" ht="25" customHeight="1" x14ac:dyDescent="0.3">
      <c r="A177" s="3"/>
      <c r="B177" s="3" t="s">
        <v>1636</v>
      </c>
      <c r="C177" s="3" t="s">
        <v>1637</v>
      </c>
      <c r="D177" s="3" t="s">
        <v>1552</v>
      </c>
      <c r="E177" s="3">
        <v>27</v>
      </c>
      <c r="F177" s="3"/>
      <c r="G177" s="3" t="s">
        <v>36</v>
      </c>
      <c r="H177" s="3"/>
      <c r="I177" s="3"/>
      <c r="J177" s="24" t="s">
        <v>1618</v>
      </c>
      <c r="K177" s="3"/>
      <c r="L177" s="6"/>
      <c r="M177" s="20"/>
      <c r="O177" s="3"/>
      <c r="P177" s="3"/>
      <c r="Q177" s="3">
        <v>1</v>
      </c>
      <c r="R177" s="3"/>
      <c r="S177" s="3"/>
    </row>
    <row r="178" spans="1:19" ht="25" customHeight="1" x14ac:dyDescent="0.3">
      <c r="A178" s="3"/>
      <c r="B178" s="3" t="s">
        <v>1643</v>
      </c>
      <c r="C178" s="3" t="s">
        <v>88</v>
      </c>
      <c r="D178" s="3" t="s">
        <v>1644</v>
      </c>
      <c r="E178" s="3">
        <v>27</v>
      </c>
      <c r="F178" s="3"/>
      <c r="G178" s="3" t="s">
        <v>24</v>
      </c>
      <c r="H178" s="3"/>
      <c r="I178" s="3"/>
      <c r="J178" s="24" t="s">
        <v>1645</v>
      </c>
      <c r="K178" s="3"/>
      <c r="L178" s="6"/>
      <c r="M178" s="20"/>
      <c r="O178" s="3"/>
      <c r="P178" s="3">
        <v>1</v>
      </c>
      <c r="Q178" s="3"/>
      <c r="R178" s="3"/>
      <c r="S178" s="3"/>
    </row>
    <row r="179" spans="1:19" ht="25" customHeight="1" x14ac:dyDescent="0.3">
      <c r="A179" s="3"/>
      <c r="B179" s="3" t="s">
        <v>556</v>
      </c>
      <c r="C179" s="3" t="s">
        <v>558</v>
      </c>
      <c r="D179" s="3" t="s">
        <v>1659</v>
      </c>
      <c r="E179" s="3">
        <v>26</v>
      </c>
      <c r="F179" s="3"/>
      <c r="G179" s="3" t="s">
        <v>36</v>
      </c>
      <c r="H179" s="3"/>
      <c r="I179" s="3"/>
      <c r="J179" s="24" t="s">
        <v>1618</v>
      </c>
      <c r="K179" s="3"/>
      <c r="L179" s="6"/>
      <c r="M179" s="20"/>
      <c r="O179" s="3"/>
      <c r="P179" s="3"/>
      <c r="Q179" s="3">
        <v>1</v>
      </c>
      <c r="R179" s="3"/>
      <c r="S179" s="3"/>
    </row>
    <row r="180" spans="1:19" ht="25" customHeight="1" x14ac:dyDescent="0.3">
      <c r="A180" s="3"/>
      <c r="B180" s="3" t="s">
        <v>1768</v>
      </c>
      <c r="C180" s="3" t="s">
        <v>499</v>
      </c>
      <c r="D180" s="3" t="s">
        <v>1769</v>
      </c>
      <c r="E180" s="3">
        <v>28</v>
      </c>
      <c r="F180" s="3"/>
      <c r="G180" s="3" t="s">
        <v>65</v>
      </c>
      <c r="H180" s="3"/>
      <c r="I180" s="3"/>
      <c r="J180" s="24" t="s">
        <v>1770</v>
      </c>
      <c r="K180" s="3"/>
      <c r="L180" s="6"/>
      <c r="M180" s="20"/>
      <c r="O180" s="3"/>
      <c r="P180" s="3"/>
      <c r="Q180" s="3"/>
      <c r="R180" s="3"/>
      <c r="S180" s="3">
        <v>1</v>
      </c>
    </row>
    <row r="181" spans="1:19" ht="25" customHeight="1" x14ac:dyDescent="0.3">
      <c r="A181" s="3"/>
      <c r="B181" s="3" t="s">
        <v>1772</v>
      </c>
      <c r="C181" s="3" t="s">
        <v>1773</v>
      </c>
      <c r="D181" s="3" t="s">
        <v>1774</v>
      </c>
      <c r="E181" s="3">
        <v>23</v>
      </c>
      <c r="F181" s="3"/>
      <c r="G181" s="3" t="s">
        <v>24</v>
      </c>
      <c r="H181" s="3"/>
      <c r="I181" s="3"/>
      <c r="J181" s="24" t="s">
        <v>1775</v>
      </c>
      <c r="K181" s="3"/>
      <c r="L181" s="6"/>
      <c r="M181" s="20"/>
      <c r="O181" s="3"/>
      <c r="P181" s="3">
        <v>1</v>
      </c>
      <c r="Q181" s="3"/>
      <c r="R181" s="3"/>
      <c r="S181" s="3"/>
    </row>
    <row r="182" spans="1:19" ht="25" customHeight="1" x14ac:dyDescent="0.3">
      <c r="A182" s="3"/>
      <c r="B182" s="3" t="s">
        <v>1479</v>
      </c>
      <c r="C182" s="3" t="s">
        <v>558</v>
      </c>
      <c r="D182" s="3" t="s">
        <v>819</v>
      </c>
      <c r="E182" s="3">
        <v>31</v>
      </c>
      <c r="F182" s="3"/>
      <c r="G182" s="3" t="s">
        <v>24</v>
      </c>
      <c r="H182" s="3"/>
      <c r="I182" s="3"/>
      <c r="J182" s="24" t="s">
        <v>1781</v>
      </c>
      <c r="K182" s="3"/>
      <c r="L182" s="6"/>
      <c r="M182" s="20"/>
      <c r="O182" s="3"/>
      <c r="P182" s="3">
        <v>1</v>
      </c>
      <c r="Q182" s="3"/>
      <c r="R182" s="3"/>
      <c r="S182" s="3"/>
    </row>
    <row r="183" spans="1:19" ht="25" customHeight="1" x14ac:dyDescent="0.3">
      <c r="A183" s="3"/>
      <c r="B183" s="3" t="s">
        <v>1791</v>
      </c>
      <c r="C183" s="3" t="s">
        <v>1792</v>
      </c>
      <c r="D183" s="3" t="s">
        <v>861</v>
      </c>
      <c r="E183" s="3">
        <v>28</v>
      </c>
      <c r="F183" s="3"/>
      <c r="G183" s="3" t="s">
        <v>36</v>
      </c>
      <c r="H183" s="3"/>
      <c r="I183" s="3"/>
      <c r="J183" s="24" t="s">
        <v>695</v>
      </c>
      <c r="K183" s="3"/>
      <c r="L183" s="6"/>
      <c r="M183" s="20"/>
      <c r="O183" s="3"/>
      <c r="P183" s="3"/>
      <c r="Q183" s="3">
        <v>1</v>
      </c>
      <c r="R183" s="3"/>
      <c r="S183" s="3"/>
    </row>
    <row r="184" spans="1:19" ht="25" customHeight="1" x14ac:dyDescent="0.3">
      <c r="A184" s="3"/>
      <c r="B184" s="3" t="s">
        <v>1800</v>
      </c>
      <c r="C184" s="3" t="s">
        <v>200</v>
      </c>
      <c r="D184" s="3" t="s">
        <v>559</v>
      </c>
      <c r="E184" s="3">
        <v>22</v>
      </c>
      <c r="F184" s="3"/>
      <c r="G184" s="3" t="s">
        <v>36</v>
      </c>
      <c r="H184" s="3"/>
      <c r="I184" s="3"/>
      <c r="J184" s="24" t="s">
        <v>1799</v>
      </c>
      <c r="K184" s="3"/>
      <c r="L184" s="6"/>
      <c r="M184" s="20"/>
      <c r="O184" s="3"/>
      <c r="P184" s="3"/>
      <c r="Q184" s="3">
        <v>1</v>
      </c>
      <c r="R184" s="3"/>
      <c r="S184" s="3"/>
    </row>
    <row r="185" spans="1:19" ht="25" customHeight="1" x14ac:dyDescent="0.3">
      <c r="A185" s="3"/>
      <c r="B185" s="3" t="s">
        <v>1804</v>
      </c>
      <c r="C185" s="3" t="s">
        <v>1805</v>
      </c>
      <c r="D185" s="3" t="s">
        <v>203</v>
      </c>
      <c r="E185" s="3">
        <v>22</v>
      </c>
      <c r="F185" s="3"/>
      <c r="G185" s="3" t="s">
        <v>24</v>
      </c>
      <c r="H185" s="3"/>
      <c r="I185" s="3"/>
      <c r="J185" s="24" t="s">
        <v>1806</v>
      </c>
      <c r="K185" s="3"/>
      <c r="L185" s="6"/>
      <c r="M185" s="20"/>
      <c r="O185" s="3"/>
      <c r="P185" s="3">
        <v>1</v>
      </c>
      <c r="Q185" s="3"/>
      <c r="R185" s="3"/>
      <c r="S185" s="3"/>
    </row>
    <row r="186" spans="1:19" ht="25" customHeight="1" x14ac:dyDescent="0.3">
      <c r="A186" s="3"/>
      <c r="B186" s="3" t="s">
        <v>1807</v>
      </c>
      <c r="C186" s="3" t="s">
        <v>1808</v>
      </c>
      <c r="D186" s="3" t="s">
        <v>1809</v>
      </c>
      <c r="E186" s="3">
        <v>25</v>
      </c>
      <c r="F186" s="3"/>
      <c r="G186" s="3" t="s">
        <v>64</v>
      </c>
      <c r="H186" s="3"/>
      <c r="I186" s="3"/>
      <c r="J186" s="24" t="s">
        <v>1640</v>
      </c>
      <c r="K186" s="3"/>
      <c r="L186" s="6"/>
      <c r="M186" s="20"/>
      <c r="O186" s="3"/>
      <c r="P186" s="3"/>
      <c r="Q186" s="3"/>
      <c r="R186" s="3">
        <v>1</v>
      </c>
      <c r="S186" s="3"/>
    </row>
    <row r="187" spans="1:19" ht="25" customHeight="1" x14ac:dyDescent="0.3">
      <c r="A187" s="3"/>
      <c r="B187" s="3" t="s">
        <v>1814</v>
      </c>
      <c r="C187" s="3" t="s">
        <v>1168</v>
      </c>
      <c r="D187" s="3" t="s">
        <v>1815</v>
      </c>
      <c r="E187" s="3">
        <v>27</v>
      </c>
      <c r="F187" s="3"/>
      <c r="G187" s="3" t="s">
        <v>24</v>
      </c>
      <c r="H187" s="3"/>
      <c r="I187" s="3"/>
      <c r="J187" s="24" t="s">
        <v>1722</v>
      </c>
      <c r="K187" s="3"/>
      <c r="L187" s="6"/>
      <c r="M187" s="20"/>
      <c r="O187" s="3"/>
      <c r="P187" s="3">
        <v>1</v>
      </c>
      <c r="Q187" s="3"/>
      <c r="R187" s="3"/>
      <c r="S187" s="3"/>
    </row>
    <row r="188" spans="1:19" ht="25" customHeight="1" x14ac:dyDescent="0.3">
      <c r="A188" s="3"/>
      <c r="B188" s="3" t="s">
        <v>729</v>
      </c>
      <c r="C188" s="3" t="s">
        <v>1816</v>
      </c>
      <c r="D188" s="3" t="s">
        <v>1817</v>
      </c>
      <c r="E188" s="3">
        <v>33</v>
      </c>
      <c r="F188" s="3"/>
      <c r="G188" s="3" t="s">
        <v>64</v>
      </c>
      <c r="H188" s="3"/>
      <c r="I188" s="3"/>
      <c r="J188" s="24" t="s">
        <v>1640</v>
      </c>
      <c r="K188" s="3"/>
      <c r="L188" s="6"/>
      <c r="M188" s="20"/>
      <c r="O188" s="3"/>
      <c r="P188" s="3"/>
      <c r="Q188" s="3"/>
      <c r="R188" s="3">
        <v>1</v>
      </c>
      <c r="S188" s="3"/>
    </row>
    <row r="189" spans="1:19" ht="25" customHeight="1" x14ac:dyDescent="0.3">
      <c r="A189" s="3"/>
      <c r="B189" s="3" t="s">
        <v>305</v>
      </c>
      <c r="C189" s="3" t="s">
        <v>958</v>
      </c>
      <c r="D189" s="3" t="s">
        <v>854</v>
      </c>
      <c r="E189" s="3">
        <v>27</v>
      </c>
      <c r="F189" s="3"/>
      <c r="G189" s="3" t="s">
        <v>64</v>
      </c>
      <c r="H189" s="3"/>
      <c r="I189" s="3"/>
      <c r="J189" s="24" t="s">
        <v>1832</v>
      </c>
      <c r="K189" s="3"/>
      <c r="L189" s="6"/>
      <c r="M189" s="20"/>
      <c r="O189" s="3"/>
      <c r="P189" s="3"/>
      <c r="Q189" s="3"/>
      <c r="R189" s="3">
        <v>1</v>
      </c>
      <c r="S189" s="3"/>
    </row>
    <row r="190" spans="1:19" ht="25" customHeight="1" x14ac:dyDescent="0.3">
      <c r="A190" s="3"/>
      <c r="B190" s="3" t="s">
        <v>1833</v>
      </c>
      <c r="C190" s="3" t="s">
        <v>1834</v>
      </c>
      <c r="D190" s="3" t="s">
        <v>1835</v>
      </c>
      <c r="E190" s="3">
        <v>23</v>
      </c>
      <c r="F190" s="3"/>
      <c r="G190" s="3" t="s">
        <v>24</v>
      </c>
      <c r="H190" s="3"/>
      <c r="I190" s="3"/>
      <c r="J190" s="24" t="s">
        <v>1645</v>
      </c>
      <c r="K190" s="3"/>
      <c r="L190" s="6"/>
      <c r="M190" s="20"/>
      <c r="O190" s="3"/>
      <c r="P190" s="3">
        <v>1</v>
      </c>
      <c r="Q190" s="3"/>
      <c r="R190" s="3"/>
      <c r="S190" s="3"/>
    </row>
    <row r="191" spans="1:19" ht="25" customHeight="1" x14ac:dyDescent="0.3">
      <c r="A191" s="3"/>
      <c r="B191" s="3" t="s">
        <v>1836</v>
      </c>
      <c r="C191" s="3" t="s">
        <v>1837</v>
      </c>
      <c r="D191" s="3" t="s">
        <v>223</v>
      </c>
      <c r="E191" s="3">
        <v>24</v>
      </c>
      <c r="F191" s="3"/>
      <c r="G191" s="3" t="s">
        <v>24</v>
      </c>
      <c r="H191" s="3"/>
      <c r="I191" s="3"/>
      <c r="J191" s="24" t="s">
        <v>1838</v>
      </c>
      <c r="K191" s="3"/>
      <c r="L191" s="6"/>
      <c r="M191" s="20"/>
      <c r="O191" s="3"/>
      <c r="P191" s="3">
        <v>1</v>
      </c>
      <c r="Q191" s="3"/>
      <c r="R191" s="3"/>
      <c r="S191" s="3"/>
    </row>
    <row r="192" spans="1:19" ht="25" customHeight="1" x14ac:dyDescent="0.3">
      <c r="A192" s="3"/>
      <c r="B192" s="3" t="s">
        <v>1287</v>
      </c>
      <c r="C192" s="3" t="s">
        <v>1858</v>
      </c>
      <c r="D192" s="3" t="s">
        <v>100</v>
      </c>
      <c r="E192" s="3">
        <v>20</v>
      </c>
      <c r="F192" s="3"/>
      <c r="G192" s="3" t="s">
        <v>24</v>
      </c>
      <c r="H192" s="3"/>
      <c r="I192" s="3"/>
      <c r="J192" s="24" t="s">
        <v>1859</v>
      </c>
      <c r="K192" s="3"/>
      <c r="L192" s="6"/>
      <c r="M192" s="20"/>
      <c r="O192" s="3"/>
      <c r="P192" s="3">
        <v>1</v>
      </c>
      <c r="Q192" s="3"/>
      <c r="R192" s="3"/>
      <c r="S192" s="3"/>
    </row>
    <row r="193" spans="1:19" ht="25" customHeight="1" x14ac:dyDescent="0.3">
      <c r="A193" s="3"/>
      <c r="B193" s="3" t="s">
        <v>1530</v>
      </c>
      <c r="C193" s="3" t="s">
        <v>91</v>
      </c>
      <c r="D193" s="3" t="s">
        <v>1216</v>
      </c>
      <c r="E193" s="3">
        <v>27</v>
      </c>
      <c r="F193" s="3"/>
      <c r="G193" s="3" t="s">
        <v>29</v>
      </c>
      <c r="H193" s="3"/>
      <c r="I193" s="3"/>
      <c r="J193" s="24" t="s">
        <v>1860</v>
      </c>
      <c r="K193" s="3"/>
      <c r="L193" s="6"/>
      <c r="M193" s="20"/>
      <c r="O193" s="3">
        <v>1</v>
      </c>
      <c r="P193" s="3"/>
      <c r="Q193" s="3"/>
      <c r="R193" s="3"/>
      <c r="S193" s="3"/>
    </row>
    <row r="194" spans="1:19" ht="25" customHeight="1" x14ac:dyDescent="0.3">
      <c r="A194" s="3"/>
      <c r="B194" s="3" t="s">
        <v>1865</v>
      </c>
      <c r="C194" s="3" t="s">
        <v>1866</v>
      </c>
      <c r="D194" s="3" t="s">
        <v>1867</v>
      </c>
      <c r="E194" s="3">
        <v>40</v>
      </c>
      <c r="F194" s="3"/>
      <c r="G194" s="3" t="s">
        <v>24</v>
      </c>
      <c r="H194" s="3"/>
      <c r="I194" s="3"/>
      <c r="J194" s="3" t="s">
        <v>1868</v>
      </c>
      <c r="K194" s="3"/>
      <c r="L194" s="6"/>
      <c r="M194" s="20"/>
      <c r="O194" s="3"/>
      <c r="P194" s="3">
        <v>1</v>
      </c>
      <c r="Q194" s="3"/>
      <c r="R194" s="3"/>
      <c r="S194" s="3"/>
    </row>
    <row r="195" spans="1:19" ht="25" customHeight="1" x14ac:dyDescent="0.3">
      <c r="A195" s="3"/>
      <c r="B195" s="3" t="s">
        <v>556</v>
      </c>
      <c r="C195" s="3" t="s">
        <v>359</v>
      </c>
      <c r="D195" s="3" t="s">
        <v>339</v>
      </c>
      <c r="E195" s="3">
        <v>26</v>
      </c>
      <c r="F195" s="3" t="s">
        <v>35</v>
      </c>
      <c r="G195" s="3" t="s">
        <v>36</v>
      </c>
      <c r="H195" s="3"/>
      <c r="I195" s="3"/>
      <c r="J195" s="3" t="s">
        <v>2082</v>
      </c>
      <c r="K195" s="3"/>
      <c r="L195" s="6"/>
      <c r="M195" s="20"/>
      <c r="O195" s="3"/>
      <c r="P195" s="3"/>
      <c r="Q195" s="3">
        <v>1</v>
      </c>
      <c r="R195" s="3"/>
      <c r="S195" s="3"/>
    </row>
    <row r="196" spans="1:19" ht="25" customHeight="1" x14ac:dyDescent="0.3">
      <c r="A196" s="3"/>
      <c r="B196" s="3" t="s">
        <v>1509</v>
      </c>
      <c r="C196" s="3" t="s">
        <v>2015</v>
      </c>
      <c r="D196" s="3" t="s">
        <v>515</v>
      </c>
      <c r="E196" s="3" t="s">
        <v>2016</v>
      </c>
      <c r="F196" s="3" t="s">
        <v>35</v>
      </c>
      <c r="G196" s="3" t="s">
        <v>24</v>
      </c>
      <c r="H196" s="3"/>
      <c r="I196" s="3"/>
      <c r="J196" s="3" t="s">
        <v>1982</v>
      </c>
      <c r="K196" s="3"/>
      <c r="L196" s="6"/>
      <c r="M196" s="20"/>
      <c r="O196" s="3"/>
      <c r="P196" s="3">
        <v>1</v>
      </c>
      <c r="Q196" s="3"/>
      <c r="R196" s="3"/>
      <c r="S196" s="3"/>
    </row>
    <row r="197" spans="1:19" ht="25" customHeight="1" x14ac:dyDescent="0.3">
      <c r="A197" s="3"/>
      <c r="B197" s="3" t="s">
        <v>566</v>
      </c>
      <c r="C197" s="3" t="s">
        <v>559</v>
      </c>
      <c r="D197" s="3" t="s">
        <v>88</v>
      </c>
      <c r="E197" s="3" t="s">
        <v>2017</v>
      </c>
      <c r="F197" s="3" t="s">
        <v>35</v>
      </c>
      <c r="G197" s="3" t="s">
        <v>24</v>
      </c>
      <c r="H197" s="3"/>
      <c r="I197" s="3"/>
      <c r="J197" s="3" t="s">
        <v>1982</v>
      </c>
      <c r="K197" s="3"/>
      <c r="L197" s="6"/>
      <c r="M197" s="20"/>
      <c r="O197" s="3"/>
      <c r="P197" s="3">
        <v>1</v>
      </c>
      <c r="Q197" s="3"/>
      <c r="R197" s="3"/>
      <c r="S197" s="3"/>
    </row>
    <row r="198" spans="1:19" ht="25" customHeight="1" x14ac:dyDescent="0.3">
      <c r="A198" s="3"/>
      <c r="B198" s="3" t="s">
        <v>876</v>
      </c>
      <c r="C198" s="3" t="s">
        <v>109</v>
      </c>
      <c r="D198" s="3" t="s">
        <v>329</v>
      </c>
      <c r="E198" s="3" t="s">
        <v>2018</v>
      </c>
      <c r="F198" s="3" t="s">
        <v>35</v>
      </c>
      <c r="G198" s="3" t="s">
        <v>24</v>
      </c>
      <c r="H198" s="3"/>
      <c r="I198" s="3"/>
      <c r="J198" s="3" t="s">
        <v>1982</v>
      </c>
      <c r="K198" s="3"/>
      <c r="L198" s="6"/>
      <c r="M198" s="20"/>
      <c r="O198" s="3"/>
      <c r="P198" s="3">
        <v>1</v>
      </c>
      <c r="Q198" s="3"/>
      <c r="R198" s="3"/>
      <c r="S198" s="3"/>
    </row>
    <row r="199" spans="1:19" ht="25" customHeight="1" x14ac:dyDescent="0.3">
      <c r="A199" s="3"/>
      <c r="B199" s="3" t="s">
        <v>579</v>
      </c>
      <c r="C199" s="3" t="s">
        <v>91</v>
      </c>
      <c r="D199" s="3" t="s">
        <v>2019</v>
      </c>
      <c r="E199" s="3" t="s">
        <v>2018</v>
      </c>
      <c r="F199" s="3" t="s">
        <v>35</v>
      </c>
      <c r="G199" s="3" t="s">
        <v>36</v>
      </c>
      <c r="H199" s="3"/>
      <c r="I199" s="3"/>
      <c r="J199" s="3" t="s">
        <v>1982</v>
      </c>
      <c r="K199" s="3"/>
      <c r="L199" s="6"/>
      <c r="M199" s="20"/>
      <c r="O199" s="3"/>
      <c r="P199" s="3"/>
      <c r="Q199" s="3">
        <v>1</v>
      </c>
      <c r="R199" s="3"/>
      <c r="S199" s="3"/>
    </row>
    <row r="200" spans="1:19" ht="25" customHeight="1" x14ac:dyDescent="0.3">
      <c r="A200" s="3"/>
      <c r="B200" s="3" t="s">
        <v>566</v>
      </c>
      <c r="C200" s="3" t="s">
        <v>43</v>
      </c>
      <c r="D200" s="3" t="s">
        <v>88</v>
      </c>
      <c r="E200" s="3" t="s">
        <v>2018</v>
      </c>
      <c r="F200" s="3" t="s">
        <v>35</v>
      </c>
      <c r="G200" s="3" t="s">
        <v>24</v>
      </c>
      <c r="H200" s="3"/>
      <c r="I200" s="3"/>
      <c r="J200" s="3" t="s">
        <v>1982</v>
      </c>
      <c r="K200" s="3"/>
      <c r="L200" s="6"/>
      <c r="M200" s="20"/>
      <c r="O200" s="3"/>
      <c r="P200" s="3">
        <v>1</v>
      </c>
      <c r="Q200" s="3"/>
      <c r="R200" s="3"/>
      <c r="S200" s="3"/>
    </row>
    <row r="201" spans="1:19" ht="25" customHeight="1" x14ac:dyDescent="0.3">
      <c r="A201" s="3"/>
      <c r="B201" s="3" t="s">
        <v>2020</v>
      </c>
      <c r="C201" s="3" t="s">
        <v>100</v>
      </c>
      <c r="D201" s="3" t="s">
        <v>153</v>
      </c>
      <c r="E201" s="3" t="s">
        <v>1900</v>
      </c>
      <c r="F201" s="3" t="s">
        <v>35</v>
      </c>
      <c r="G201" s="3" t="s">
        <v>24</v>
      </c>
      <c r="H201" s="3"/>
      <c r="I201" s="3"/>
      <c r="J201" s="3" t="s">
        <v>1982</v>
      </c>
      <c r="K201" s="3"/>
      <c r="L201" s="6"/>
      <c r="M201" s="20"/>
      <c r="O201" s="3"/>
      <c r="P201" s="3">
        <v>1</v>
      </c>
      <c r="Q201" s="3"/>
      <c r="R201" s="3"/>
      <c r="S201" s="3"/>
    </row>
    <row r="202" spans="1:19" ht="25" customHeight="1" x14ac:dyDescent="0.3">
      <c r="A202" s="3"/>
      <c r="B202" s="3" t="s">
        <v>2021</v>
      </c>
      <c r="C202" s="3" t="s">
        <v>28</v>
      </c>
      <c r="D202" s="3" t="s">
        <v>153</v>
      </c>
      <c r="E202" s="3" t="s">
        <v>2022</v>
      </c>
      <c r="F202" s="3" t="s">
        <v>35</v>
      </c>
      <c r="G202" s="3" t="s">
        <v>36</v>
      </c>
      <c r="H202" s="3"/>
      <c r="I202" s="3"/>
      <c r="J202" s="3" t="s">
        <v>1982</v>
      </c>
      <c r="K202" s="3"/>
      <c r="L202" s="6"/>
      <c r="M202" s="20"/>
      <c r="O202" s="3"/>
      <c r="P202" s="3"/>
      <c r="Q202" s="3">
        <v>1</v>
      </c>
      <c r="R202" s="3"/>
      <c r="S202" s="3"/>
    </row>
    <row r="203" spans="1:19" ht="25" customHeight="1" x14ac:dyDescent="0.3">
      <c r="A203" s="3"/>
      <c r="B203" s="3" t="s">
        <v>901</v>
      </c>
      <c r="C203" s="3" t="s">
        <v>339</v>
      </c>
      <c r="D203" s="3" t="s">
        <v>327</v>
      </c>
      <c r="E203" s="3" t="s">
        <v>2023</v>
      </c>
      <c r="F203" s="3" t="s">
        <v>35</v>
      </c>
      <c r="G203" s="3" t="s">
        <v>24</v>
      </c>
      <c r="H203" s="3"/>
      <c r="I203" s="3"/>
      <c r="J203" s="3" t="s">
        <v>1982</v>
      </c>
      <c r="K203" s="3"/>
      <c r="L203" s="6"/>
      <c r="M203" s="20"/>
      <c r="O203" s="3"/>
      <c r="P203" s="3">
        <v>1</v>
      </c>
      <c r="Q203" s="3"/>
      <c r="R203" s="3"/>
      <c r="S203" s="3"/>
    </row>
    <row r="204" spans="1:19" ht="25" customHeight="1" x14ac:dyDescent="0.3">
      <c r="A204" s="3"/>
      <c r="B204" s="3" t="s">
        <v>2024</v>
      </c>
      <c r="C204" s="3" t="s">
        <v>109</v>
      </c>
      <c r="D204" s="3" t="s">
        <v>2025</v>
      </c>
      <c r="E204" s="3">
        <v>28</v>
      </c>
      <c r="F204" s="3" t="s">
        <v>35</v>
      </c>
      <c r="G204" s="3" t="s">
        <v>24</v>
      </c>
      <c r="H204" s="3"/>
      <c r="I204" s="3"/>
      <c r="J204" s="3" t="s">
        <v>1369</v>
      </c>
      <c r="K204" s="3"/>
      <c r="L204" s="6"/>
      <c r="M204" s="20"/>
      <c r="O204" s="3"/>
      <c r="P204" s="3">
        <v>1</v>
      </c>
      <c r="Q204" s="3"/>
      <c r="R204" s="3"/>
      <c r="S204" s="3"/>
    </row>
    <row r="205" spans="1:19" ht="25" customHeight="1" x14ac:dyDescent="0.3">
      <c r="A205" s="3"/>
      <c r="B205" s="3" t="s">
        <v>2026</v>
      </c>
      <c r="C205" s="3" t="s">
        <v>311</v>
      </c>
      <c r="D205" s="3" t="s">
        <v>34</v>
      </c>
      <c r="E205" s="3">
        <v>26</v>
      </c>
      <c r="F205" s="3" t="s">
        <v>35</v>
      </c>
      <c r="G205" s="3" t="s">
        <v>24</v>
      </c>
      <c r="H205" s="3"/>
      <c r="I205" s="3"/>
      <c r="J205" s="3" t="s">
        <v>2083</v>
      </c>
      <c r="K205" s="3"/>
      <c r="L205" s="6"/>
      <c r="M205" s="20"/>
      <c r="O205" s="3"/>
      <c r="P205" s="3">
        <v>1</v>
      </c>
      <c r="Q205" s="3"/>
      <c r="R205" s="3"/>
      <c r="S205" s="3"/>
    </row>
    <row r="206" spans="1:19" ht="25" customHeight="1" x14ac:dyDescent="0.3">
      <c r="A206" s="3"/>
      <c r="B206" s="3" t="s">
        <v>2027</v>
      </c>
      <c r="C206" s="3" t="s">
        <v>2028</v>
      </c>
      <c r="D206" s="3" t="s">
        <v>1489</v>
      </c>
      <c r="E206" s="3">
        <v>29</v>
      </c>
      <c r="F206" s="3" t="s">
        <v>35</v>
      </c>
      <c r="G206" s="3" t="s">
        <v>36</v>
      </c>
      <c r="H206" s="3"/>
      <c r="I206" s="3"/>
      <c r="J206" s="3" t="s">
        <v>2084</v>
      </c>
      <c r="K206" s="3"/>
      <c r="L206" s="6"/>
      <c r="M206" s="20"/>
      <c r="O206" s="3"/>
      <c r="P206" s="3"/>
      <c r="Q206" s="3">
        <v>1</v>
      </c>
      <c r="R206" s="3"/>
      <c r="S206" s="3"/>
    </row>
    <row r="207" spans="1:19" ht="25" customHeight="1" x14ac:dyDescent="0.3">
      <c r="A207" s="3"/>
      <c r="B207" s="3" t="s">
        <v>2029</v>
      </c>
      <c r="C207" s="3" t="s">
        <v>352</v>
      </c>
      <c r="D207" s="3" t="s">
        <v>166</v>
      </c>
      <c r="E207" s="3">
        <v>14</v>
      </c>
      <c r="F207" s="3" t="s">
        <v>35</v>
      </c>
      <c r="G207" s="3" t="s">
        <v>24</v>
      </c>
      <c r="H207" s="3"/>
      <c r="I207" s="3"/>
      <c r="J207" s="3" t="s">
        <v>2085</v>
      </c>
      <c r="K207" s="3"/>
      <c r="L207" s="6"/>
      <c r="M207" s="20"/>
      <c r="O207" s="3"/>
      <c r="P207" s="3">
        <v>1</v>
      </c>
      <c r="Q207" s="3"/>
      <c r="R207" s="3"/>
      <c r="S207" s="3"/>
    </row>
    <row r="208" spans="1:19" ht="25" customHeight="1" x14ac:dyDescent="0.3">
      <c r="A208" s="3"/>
      <c r="B208" s="3" t="s">
        <v>2030</v>
      </c>
      <c r="C208" s="3" t="s">
        <v>100</v>
      </c>
      <c r="D208" s="3" t="s">
        <v>1979</v>
      </c>
      <c r="E208" s="3">
        <v>29</v>
      </c>
      <c r="F208" s="3" t="s">
        <v>35</v>
      </c>
      <c r="G208" s="3" t="s">
        <v>36</v>
      </c>
      <c r="H208" s="3"/>
      <c r="I208" s="3"/>
      <c r="J208" s="3" t="s">
        <v>2086</v>
      </c>
      <c r="K208" s="3"/>
      <c r="L208" s="6"/>
      <c r="M208" s="20"/>
      <c r="O208" s="3"/>
      <c r="P208" s="3"/>
      <c r="Q208" s="3">
        <v>1</v>
      </c>
      <c r="R208" s="3"/>
      <c r="S208" s="3"/>
    </row>
    <row r="209" spans="1:19" ht="25" customHeight="1" x14ac:dyDescent="0.3">
      <c r="A209" s="3"/>
      <c r="B209" s="3" t="s">
        <v>1479</v>
      </c>
      <c r="C209" s="3" t="s">
        <v>201</v>
      </c>
      <c r="D209" s="3" t="s">
        <v>377</v>
      </c>
      <c r="E209" s="3">
        <v>26</v>
      </c>
      <c r="F209" s="3" t="s">
        <v>35</v>
      </c>
      <c r="G209" s="3" t="s">
        <v>892</v>
      </c>
      <c r="H209" s="3"/>
      <c r="I209" s="3"/>
      <c r="J209" s="3" t="s">
        <v>1980</v>
      </c>
      <c r="K209" s="3"/>
      <c r="L209" s="6"/>
      <c r="M209" s="20"/>
      <c r="O209" s="3"/>
      <c r="P209" s="3"/>
      <c r="Q209" s="3"/>
      <c r="R209" s="3">
        <v>1</v>
      </c>
      <c r="S209" s="3"/>
    </row>
    <row r="210" spans="1:19" ht="25" customHeight="1" x14ac:dyDescent="0.3">
      <c r="A210" s="3"/>
      <c r="B210" s="3" t="s">
        <v>2031</v>
      </c>
      <c r="C210" s="3" t="s">
        <v>227</v>
      </c>
      <c r="D210" s="3" t="s">
        <v>111</v>
      </c>
      <c r="E210" s="3">
        <v>24</v>
      </c>
      <c r="F210" s="3" t="s">
        <v>35</v>
      </c>
      <c r="G210" s="3" t="s">
        <v>24</v>
      </c>
      <c r="H210" s="3"/>
      <c r="I210" s="3"/>
      <c r="J210" s="3" t="s">
        <v>1980</v>
      </c>
      <c r="K210" s="3"/>
      <c r="L210" s="6"/>
      <c r="M210" s="20"/>
      <c r="O210" s="3"/>
      <c r="P210" s="3">
        <v>1</v>
      </c>
      <c r="Q210" s="3"/>
      <c r="R210" s="3"/>
      <c r="S210" s="3"/>
    </row>
    <row r="211" spans="1:19" ht="25" customHeight="1" x14ac:dyDescent="0.3">
      <c r="A211" s="3"/>
      <c r="B211" s="3" t="s">
        <v>901</v>
      </c>
      <c r="C211" s="3" t="s">
        <v>643</v>
      </c>
      <c r="D211" s="3" t="s">
        <v>2032</v>
      </c>
      <c r="E211" s="3">
        <v>26</v>
      </c>
      <c r="F211" s="3" t="s">
        <v>35</v>
      </c>
      <c r="G211" s="3" t="s">
        <v>29</v>
      </c>
      <c r="H211" s="3"/>
      <c r="I211" s="3"/>
      <c r="J211" s="3" t="s">
        <v>2087</v>
      </c>
      <c r="K211" s="3"/>
      <c r="L211" s="6"/>
      <c r="M211" s="20"/>
      <c r="O211" s="3">
        <v>1</v>
      </c>
      <c r="P211" s="3"/>
      <c r="Q211" s="3"/>
      <c r="R211" s="3"/>
      <c r="S211" s="3"/>
    </row>
    <row r="212" spans="1:19" ht="25" customHeight="1" x14ac:dyDescent="0.3">
      <c r="A212" s="3"/>
      <c r="B212" s="3" t="s">
        <v>2033</v>
      </c>
      <c r="C212" s="3" t="s">
        <v>2034</v>
      </c>
      <c r="D212" s="3" t="s">
        <v>342</v>
      </c>
      <c r="E212" s="3">
        <v>24</v>
      </c>
      <c r="F212" s="3" t="s">
        <v>35</v>
      </c>
      <c r="G212" s="3" t="s">
        <v>64</v>
      </c>
      <c r="H212" s="3"/>
      <c r="I212" s="3"/>
      <c r="J212" s="3" t="s">
        <v>1980</v>
      </c>
      <c r="K212" s="3"/>
      <c r="L212" s="6"/>
      <c r="M212" s="20"/>
      <c r="O212" s="3"/>
      <c r="P212" s="3"/>
      <c r="Q212" s="3"/>
      <c r="R212" s="3">
        <v>1</v>
      </c>
      <c r="S212" s="3"/>
    </row>
    <row r="213" spans="1:19" ht="25" customHeight="1" x14ac:dyDescent="0.3">
      <c r="A213" s="3"/>
      <c r="B213" s="3" t="s">
        <v>1250</v>
      </c>
      <c r="C213" s="3" t="s">
        <v>362</v>
      </c>
      <c r="D213" s="3" t="s">
        <v>1216</v>
      </c>
      <c r="E213" s="3">
        <v>26</v>
      </c>
      <c r="F213" s="3" t="s">
        <v>35</v>
      </c>
      <c r="G213" s="3" t="s">
        <v>24</v>
      </c>
      <c r="H213" s="3"/>
      <c r="I213" s="3"/>
      <c r="J213" s="3" t="s">
        <v>841</v>
      </c>
      <c r="K213" s="3"/>
      <c r="L213" s="6"/>
      <c r="M213" s="20"/>
      <c r="O213" s="3"/>
      <c r="P213" s="3">
        <v>1</v>
      </c>
      <c r="Q213" s="3"/>
      <c r="R213" s="3"/>
      <c r="S213" s="3"/>
    </row>
    <row r="214" spans="1:19" ht="25" customHeight="1" x14ac:dyDescent="0.3">
      <c r="A214" s="3"/>
      <c r="B214" s="3" t="s">
        <v>2035</v>
      </c>
      <c r="C214" s="3" t="s">
        <v>1038</v>
      </c>
      <c r="D214" s="3" t="s">
        <v>2036</v>
      </c>
      <c r="E214" s="3">
        <v>34</v>
      </c>
      <c r="F214" s="3" t="s">
        <v>35</v>
      </c>
      <c r="G214" s="3" t="s">
        <v>64</v>
      </c>
      <c r="H214" s="3"/>
      <c r="I214" s="3"/>
      <c r="J214" s="3" t="s">
        <v>2088</v>
      </c>
      <c r="K214" s="3"/>
      <c r="L214" s="6"/>
      <c r="M214" s="20"/>
      <c r="O214" s="3"/>
      <c r="P214" s="3"/>
      <c r="Q214" s="3"/>
      <c r="R214" s="3">
        <v>1</v>
      </c>
      <c r="S214" s="3"/>
    </row>
    <row r="215" spans="1:19" ht="25" customHeight="1" x14ac:dyDescent="0.3">
      <c r="A215" s="3"/>
      <c r="B215" s="3" t="s">
        <v>2037</v>
      </c>
      <c r="C215" s="3" t="s">
        <v>418</v>
      </c>
      <c r="D215" s="3" t="s">
        <v>111</v>
      </c>
      <c r="E215" s="3">
        <v>24</v>
      </c>
      <c r="F215" s="3" t="s">
        <v>35</v>
      </c>
      <c r="G215" s="3" t="s">
        <v>36</v>
      </c>
      <c r="H215" s="3"/>
      <c r="I215" s="3"/>
      <c r="J215" s="3" t="s">
        <v>1980</v>
      </c>
      <c r="K215" s="3"/>
      <c r="L215" s="6"/>
      <c r="M215" s="20"/>
      <c r="O215" s="3"/>
      <c r="P215" s="3"/>
      <c r="Q215" s="3">
        <v>1</v>
      </c>
      <c r="R215" s="3"/>
      <c r="S215" s="3"/>
    </row>
    <row r="216" spans="1:19" ht="25" customHeight="1" x14ac:dyDescent="0.3">
      <c r="A216" s="3"/>
      <c r="B216" s="3" t="s">
        <v>2038</v>
      </c>
      <c r="C216" s="3" t="s">
        <v>339</v>
      </c>
      <c r="D216" s="3" t="s">
        <v>59</v>
      </c>
      <c r="E216" s="3">
        <v>28</v>
      </c>
      <c r="F216" s="3" t="s">
        <v>35</v>
      </c>
      <c r="G216" s="3" t="s">
        <v>24</v>
      </c>
      <c r="H216" s="3"/>
      <c r="I216" s="3"/>
      <c r="J216" s="3" t="s">
        <v>2088</v>
      </c>
      <c r="K216" s="3"/>
      <c r="L216" s="6"/>
      <c r="M216" s="20"/>
      <c r="O216" s="3"/>
      <c r="P216" s="3">
        <v>1</v>
      </c>
      <c r="Q216" s="3"/>
      <c r="R216" s="3"/>
      <c r="S216" s="3"/>
    </row>
    <row r="217" spans="1:19" ht="25" customHeight="1" x14ac:dyDescent="0.3">
      <c r="A217" s="3"/>
      <c r="B217" s="3" t="s">
        <v>2039</v>
      </c>
      <c r="C217" s="3" t="s">
        <v>177</v>
      </c>
      <c r="D217" s="3" t="s">
        <v>2040</v>
      </c>
      <c r="E217" s="3">
        <v>28</v>
      </c>
      <c r="F217" s="3" t="s">
        <v>35</v>
      </c>
      <c r="G217" s="3" t="s">
        <v>24</v>
      </c>
      <c r="H217" s="3"/>
      <c r="I217" s="3"/>
      <c r="J217" s="3" t="s">
        <v>1990</v>
      </c>
      <c r="K217" s="3"/>
      <c r="L217" s="6"/>
      <c r="M217" s="20"/>
      <c r="O217" s="3"/>
      <c r="P217" s="3">
        <v>1</v>
      </c>
      <c r="Q217" s="3"/>
      <c r="R217" s="3"/>
      <c r="S217" s="3"/>
    </row>
    <row r="218" spans="1:19" ht="25" customHeight="1" x14ac:dyDescent="0.3">
      <c r="A218" s="3"/>
      <c r="B218" s="3" t="s">
        <v>2041</v>
      </c>
      <c r="C218" s="3" t="s">
        <v>227</v>
      </c>
      <c r="D218" s="3" t="s">
        <v>734</v>
      </c>
      <c r="E218" s="3">
        <v>23</v>
      </c>
      <c r="F218" s="3" t="s">
        <v>35</v>
      </c>
      <c r="G218" s="3" t="s">
        <v>24</v>
      </c>
      <c r="H218" s="3"/>
      <c r="I218" s="3"/>
      <c r="J218" s="3" t="s">
        <v>1980</v>
      </c>
      <c r="K218" s="3"/>
      <c r="L218" s="6"/>
      <c r="M218" s="20"/>
      <c r="O218" s="3"/>
      <c r="P218" s="3">
        <v>1</v>
      </c>
      <c r="Q218" s="3"/>
      <c r="R218" s="3"/>
      <c r="S218" s="3"/>
    </row>
    <row r="219" spans="1:19" ht="25" customHeight="1" x14ac:dyDescent="0.3">
      <c r="A219" s="3"/>
      <c r="B219" s="3" t="s">
        <v>2042</v>
      </c>
      <c r="C219" s="3" t="s">
        <v>91</v>
      </c>
      <c r="D219" s="3" t="s">
        <v>2043</v>
      </c>
      <c r="E219" s="3">
        <v>29</v>
      </c>
      <c r="F219" s="3" t="s">
        <v>35</v>
      </c>
      <c r="G219" s="3" t="s">
        <v>24</v>
      </c>
      <c r="H219" s="3"/>
      <c r="I219" s="3"/>
      <c r="J219" s="3" t="s">
        <v>1988</v>
      </c>
      <c r="K219" s="3"/>
      <c r="L219" s="6"/>
      <c r="M219" s="20"/>
      <c r="O219" s="3"/>
      <c r="P219" s="3">
        <v>1</v>
      </c>
      <c r="Q219" s="3"/>
      <c r="R219" s="3"/>
      <c r="S219" s="3"/>
    </row>
    <row r="220" spans="1:19" ht="25" customHeight="1" x14ac:dyDescent="0.3">
      <c r="A220" s="3"/>
      <c r="B220" s="3" t="s">
        <v>2044</v>
      </c>
      <c r="C220" s="3" t="s">
        <v>2045</v>
      </c>
      <c r="D220" s="3" t="s">
        <v>2046</v>
      </c>
      <c r="E220" s="3">
        <v>28</v>
      </c>
      <c r="F220" s="3" t="s">
        <v>35</v>
      </c>
      <c r="G220" s="3" t="s">
        <v>24</v>
      </c>
      <c r="H220" s="3"/>
      <c r="I220" s="3"/>
      <c r="J220" s="3" t="s">
        <v>2089</v>
      </c>
      <c r="K220" s="3"/>
      <c r="L220" s="6"/>
      <c r="M220" s="20"/>
      <c r="O220" s="3"/>
      <c r="P220" s="3">
        <v>1</v>
      </c>
      <c r="Q220" s="3"/>
      <c r="R220" s="3"/>
      <c r="S220" s="3"/>
    </row>
    <row r="221" spans="1:19" ht="25" customHeight="1" x14ac:dyDescent="0.3">
      <c r="A221" s="3"/>
      <c r="B221" s="3" t="s">
        <v>164</v>
      </c>
      <c r="C221" s="3" t="s">
        <v>88</v>
      </c>
      <c r="D221" s="3" t="s">
        <v>1243</v>
      </c>
      <c r="E221" s="3">
        <v>26</v>
      </c>
      <c r="F221" s="3" t="s">
        <v>35</v>
      </c>
      <c r="G221" s="3" t="s">
        <v>24</v>
      </c>
      <c r="H221" s="3"/>
      <c r="I221" s="3"/>
      <c r="J221" s="3" t="s">
        <v>2089</v>
      </c>
      <c r="K221" s="3"/>
      <c r="L221" s="6"/>
      <c r="M221" s="20"/>
      <c r="O221" s="3"/>
      <c r="P221" s="3">
        <v>1</v>
      </c>
      <c r="Q221" s="3"/>
      <c r="R221" s="3"/>
      <c r="S221" s="3"/>
    </row>
    <row r="222" spans="1:19" ht="25" customHeight="1" x14ac:dyDescent="0.3">
      <c r="A222" s="3"/>
      <c r="B222" s="3" t="s">
        <v>2047</v>
      </c>
      <c r="C222" s="3" t="s">
        <v>417</v>
      </c>
      <c r="D222" s="3" t="s">
        <v>2048</v>
      </c>
      <c r="E222" s="3">
        <v>33</v>
      </c>
      <c r="F222" s="3" t="s">
        <v>35</v>
      </c>
      <c r="G222" s="3" t="s">
        <v>24</v>
      </c>
      <c r="H222" s="3"/>
      <c r="I222" s="3"/>
      <c r="J222" s="3" t="s">
        <v>2089</v>
      </c>
      <c r="K222" s="3"/>
      <c r="L222" s="6"/>
      <c r="M222" s="20"/>
      <c r="O222" s="3"/>
      <c r="P222" s="3">
        <v>1</v>
      </c>
      <c r="Q222" s="3"/>
      <c r="R222" s="3"/>
      <c r="S222" s="3"/>
    </row>
    <row r="223" spans="1:19" ht="25" customHeight="1" x14ac:dyDescent="0.3">
      <c r="A223" s="3"/>
      <c r="B223" s="3" t="s">
        <v>2049</v>
      </c>
      <c r="C223" s="3" t="s">
        <v>2050</v>
      </c>
      <c r="D223" s="3" t="s">
        <v>2051</v>
      </c>
      <c r="E223" s="3">
        <v>27</v>
      </c>
      <c r="F223" s="3" t="s">
        <v>35</v>
      </c>
      <c r="G223" s="3" t="s">
        <v>24</v>
      </c>
      <c r="H223" s="3"/>
      <c r="I223" s="3"/>
      <c r="J223" s="3" t="s">
        <v>2089</v>
      </c>
      <c r="K223" s="3"/>
      <c r="L223" s="6"/>
      <c r="M223" s="20"/>
      <c r="O223" s="3"/>
      <c r="P223" s="3">
        <v>1</v>
      </c>
      <c r="Q223" s="3"/>
      <c r="R223" s="3"/>
      <c r="S223" s="3"/>
    </row>
    <row r="224" spans="1:19" ht="25" customHeight="1" x14ac:dyDescent="0.3">
      <c r="A224" s="3"/>
      <c r="B224" s="3" t="s">
        <v>2052</v>
      </c>
      <c r="C224" s="3" t="s">
        <v>2053</v>
      </c>
      <c r="D224" s="3" t="s">
        <v>195</v>
      </c>
      <c r="E224" s="3">
        <v>28</v>
      </c>
      <c r="F224" s="3" t="s">
        <v>35</v>
      </c>
      <c r="G224" s="3" t="s">
        <v>36</v>
      </c>
      <c r="H224" s="3"/>
      <c r="I224" s="3"/>
      <c r="J224" s="3" t="s">
        <v>1993</v>
      </c>
      <c r="K224" s="3"/>
      <c r="L224" s="6"/>
      <c r="M224" s="20"/>
      <c r="O224" s="3"/>
      <c r="P224" s="3"/>
      <c r="Q224" s="3">
        <v>1</v>
      </c>
      <c r="R224" s="3"/>
      <c r="S224" s="3"/>
    </row>
    <row r="225" spans="1:19" ht="25" customHeight="1" x14ac:dyDescent="0.3">
      <c r="A225" s="3"/>
      <c r="B225" s="3" t="s">
        <v>2054</v>
      </c>
      <c r="C225" s="3" t="s">
        <v>137</v>
      </c>
      <c r="D225" s="3" t="s">
        <v>962</v>
      </c>
      <c r="E225" s="3">
        <v>29</v>
      </c>
      <c r="F225" s="3" t="s">
        <v>35</v>
      </c>
      <c r="G225" s="3" t="s">
        <v>24</v>
      </c>
      <c r="H225" s="3"/>
      <c r="I225" s="3"/>
      <c r="J225" s="3" t="s">
        <v>1990</v>
      </c>
      <c r="K225" s="3"/>
      <c r="L225" s="6"/>
      <c r="M225" s="20"/>
      <c r="O225" s="3"/>
      <c r="P225" s="3">
        <v>1</v>
      </c>
      <c r="Q225" s="3"/>
      <c r="R225" s="3"/>
      <c r="S225" s="3"/>
    </row>
    <row r="226" spans="1:19" ht="25" customHeight="1" x14ac:dyDescent="0.3">
      <c r="A226" s="3"/>
      <c r="B226" s="3" t="s">
        <v>2055</v>
      </c>
      <c r="C226" s="3" t="s">
        <v>186</v>
      </c>
      <c r="D226" s="3" t="s">
        <v>146</v>
      </c>
      <c r="E226" s="3">
        <v>30</v>
      </c>
      <c r="F226" s="3" t="s">
        <v>35</v>
      </c>
      <c r="G226" s="3" t="s">
        <v>24</v>
      </c>
      <c r="H226" s="3"/>
      <c r="I226" s="3"/>
      <c r="J226" s="3" t="s">
        <v>1991</v>
      </c>
      <c r="K226" s="3"/>
      <c r="L226" s="6"/>
      <c r="M226" s="20"/>
      <c r="O226" s="3"/>
      <c r="P226" s="3">
        <v>1</v>
      </c>
      <c r="Q226" s="3"/>
      <c r="R226" s="3"/>
      <c r="S226" s="3"/>
    </row>
    <row r="227" spans="1:19" ht="25" customHeight="1" x14ac:dyDescent="0.3">
      <c r="A227" s="3"/>
      <c r="B227" s="3" t="s">
        <v>2056</v>
      </c>
      <c r="C227" s="3" t="s">
        <v>2057</v>
      </c>
      <c r="D227" s="3" t="s">
        <v>1464</v>
      </c>
      <c r="E227" s="3">
        <v>33</v>
      </c>
      <c r="F227" s="3" t="s">
        <v>35</v>
      </c>
      <c r="G227" s="3" t="s">
        <v>36</v>
      </c>
      <c r="H227" s="3"/>
      <c r="I227" s="3"/>
      <c r="J227" s="3" t="s">
        <v>1991</v>
      </c>
      <c r="K227" s="3"/>
      <c r="L227" s="6"/>
      <c r="M227" s="20"/>
      <c r="O227" s="3"/>
      <c r="P227" s="3"/>
      <c r="Q227" s="3">
        <v>1</v>
      </c>
      <c r="R227" s="3"/>
      <c r="S227" s="3"/>
    </row>
    <row r="228" spans="1:19" ht="25" customHeight="1" x14ac:dyDescent="0.3">
      <c r="A228" s="3"/>
      <c r="B228" s="3" t="s">
        <v>2058</v>
      </c>
      <c r="C228" s="3" t="s">
        <v>339</v>
      </c>
      <c r="D228" s="3" t="s">
        <v>2059</v>
      </c>
      <c r="E228" s="3">
        <v>22</v>
      </c>
      <c r="F228" s="3" t="s">
        <v>35</v>
      </c>
      <c r="G228" s="3" t="s">
        <v>24</v>
      </c>
      <c r="H228" s="3"/>
      <c r="I228" s="3"/>
      <c r="J228" s="3" t="s">
        <v>1991</v>
      </c>
      <c r="K228" s="3"/>
      <c r="L228" s="6"/>
      <c r="M228" s="20"/>
      <c r="O228" s="3"/>
      <c r="P228" s="3">
        <v>1</v>
      </c>
      <c r="Q228" s="3"/>
      <c r="R228" s="3"/>
      <c r="S228" s="3"/>
    </row>
    <row r="229" spans="1:19" ht="25" customHeight="1" x14ac:dyDescent="0.3">
      <c r="A229" s="3"/>
      <c r="B229" s="3" t="s">
        <v>2060</v>
      </c>
      <c r="C229" s="3" t="s">
        <v>354</v>
      </c>
      <c r="D229" s="3" t="s">
        <v>177</v>
      </c>
      <c r="E229" s="3">
        <v>27</v>
      </c>
      <c r="F229" s="3" t="s">
        <v>35</v>
      </c>
      <c r="G229" s="3" t="s">
        <v>24</v>
      </c>
      <c r="H229" s="3"/>
      <c r="I229" s="3"/>
      <c r="J229" s="3" t="s">
        <v>1991</v>
      </c>
      <c r="K229" s="3"/>
      <c r="L229" s="6"/>
      <c r="M229" s="20"/>
      <c r="O229" s="3"/>
      <c r="P229" s="3">
        <v>1</v>
      </c>
      <c r="Q229" s="3"/>
      <c r="R229" s="3"/>
      <c r="S229" s="3"/>
    </row>
    <row r="230" spans="1:19" ht="25" customHeight="1" x14ac:dyDescent="0.3">
      <c r="A230" s="3"/>
      <c r="B230" s="3" t="s">
        <v>2061</v>
      </c>
      <c r="C230" s="3" t="s">
        <v>2062</v>
      </c>
      <c r="D230" s="3" t="s">
        <v>157</v>
      </c>
      <c r="E230" s="3">
        <v>27</v>
      </c>
      <c r="F230" s="3" t="s">
        <v>35</v>
      </c>
      <c r="G230" s="3" t="s">
        <v>24</v>
      </c>
      <c r="H230" s="3"/>
      <c r="I230" s="3"/>
      <c r="J230" s="3" t="s">
        <v>2090</v>
      </c>
      <c r="K230" s="3"/>
      <c r="L230" s="6"/>
      <c r="M230" s="20"/>
      <c r="O230" s="3"/>
      <c r="P230" s="3">
        <v>1</v>
      </c>
      <c r="Q230" s="3"/>
      <c r="R230" s="3"/>
      <c r="S230" s="3"/>
    </row>
    <row r="231" spans="1:19" ht="25" customHeight="1" x14ac:dyDescent="0.3">
      <c r="A231" s="3"/>
      <c r="B231" s="3" t="s">
        <v>629</v>
      </c>
      <c r="C231" s="3" t="s">
        <v>91</v>
      </c>
      <c r="D231" s="3" t="s">
        <v>734</v>
      </c>
      <c r="E231" s="3">
        <v>30</v>
      </c>
      <c r="F231" s="3" t="s">
        <v>35</v>
      </c>
      <c r="G231" s="3" t="s">
        <v>36</v>
      </c>
      <c r="H231" s="3"/>
      <c r="I231" s="3"/>
      <c r="J231" s="3" t="s">
        <v>2091</v>
      </c>
      <c r="K231" s="3"/>
      <c r="L231" s="6"/>
      <c r="M231" s="20"/>
      <c r="O231" s="3"/>
      <c r="P231" s="3"/>
      <c r="Q231" s="3">
        <v>1</v>
      </c>
      <c r="R231" s="3"/>
      <c r="S231" s="3"/>
    </row>
    <row r="232" spans="1:19" ht="25" customHeight="1" x14ac:dyDescent="0.3">
      <c r="A232" s="3"/>
      <c r="B232" s="3" t="s">
        <v>2063</v>
      </c>
      <c r="C232" s="3" t="s">
        <v>2064</v>
      </c>
      <c r="D232" s="3" t="s">
        <v>111</v>
      </c>
      <c r="E232" s="3">
        <v>28</v>
      </c>
      <c r="F232" s="3" t="s">
        <v>35</v>
      </c>
      <c r="G232" s="3" t="s">
        <v>64</v>
      </c>
      <c r="H232" s="3"/>
      <c r="I232" s="3"/>
      <c r="J232" s="3" t="s">
        <v>920</v>
      </c>
      <c r="K232" s="3"/>
      <c r="L232" s="6"/>
      <c r="M232" s="20"/>
      <c r="O232" s="3"/>
      <c r="P232" s="3"/>
      <c r="Q232" s="3"/>
      <c r="R232" s="3">
        <v>1</v>
      </c>
      <c r="S232" s="3"/>
    </row>
    <row r="233" spans="1:19" ht="25" customHeight="1" x14ac:dyDescent="0.3">
      <c r="A233" s="3"/>
      <c r="B233" s="3" t="s">
        <v>2065</v>
      </c>
      <c r="C233" s="3" t="s">
        <v>222</v>
      </c>
      <c r="D233" s="3" t="s">
        <v>1172</v>
      </c>
      <c r="E233" s="3">
        <v>25</v>
      </c>
      <c r="F233" s="3" t="s">
        <v>35</v>
      </c>
      <c r="G233" s="3" t="s">
        <v>65</v>
      </c>
      <c r="H233" s="3"/>
      <c r="I233" s="3"/>
      <c r="J233" s="3" t="s">
        <v>2012</v>
      </c>
      <c r="K233" s="3"/>
      <c r="L233" s="6"/>
      <c r="M233" s="20"/>
      <c r="O233" s="3"/>
      <c r="P233" s="3"/>
      <c r="Q233" s="3"/>
      <c r="R233" s="3"/>
      <c r="S233" s="3">
        <v>1</v>
      </c>
    </row>
    <row r="234" spans="1:19" ht="25" customHeight="1" x14ac:dyDescent="0.3">
      <c r="A234" s="3"/>
      <c r="B234" s="3" t="s">
        <v>2066</v>
      </c>
      <c r="C234" s="3" t="s">
        <v>91</v>
      </c>
      <c r="D234" s="3" t="s">
        <v>214</v>
      </c>
      <c r="E234" s="3">
        <v>39</v>
      </c>
      <c r="F234" s="3" t="s">
        <v>35</v>
      </c>
      <c r="G234" s="3" t="s">
        <v>29</v>
      </c>
      <c r="H234" s="3"/>
      <c r="I234" s="3"/>
      <c r="J234" s="3" t="s">
        <v>836</v>
      </c>
      <c r="K234" s="3"/>
      <c r="L234" s="6"/>
      <c r="M234" s="20"/>
      <c r="O234" s="3">
        <v>1</v>
      </c>
      <c r="P234" s="3"/>
      <c r="Q234" s="3"/>
      <c r="R234" s="3"/>
      <c r="S234" s="3"/>
    </row>
    <row r="235" spans="1:19" ht="25" customHeight="1" x14ac:dyDescent="0.3">
      <c r="A235" s="3"/>
      <c r="B235" s="3" t="s">
        <v>629</v>
      </c>
      <c r="C235" s="3" t="s">
        <v>2067</v>
      </c>
      <c r="D235" s="3" t="s">
        <v>894</v>
      </c>
      <c r="E235" s="3">
        <v>27</v>
      </c>
      <c r="F235" s="3" t="s">
        <v>35</v>
      </c>
      <c r="G235" s="3" t="s">
        <v>64</v>
      </c>
      <c r="H235" s="3"/>
      <c r="I235" s="3"/>
      <c r="J235" s="3" t="s">
        <v>880</v>
      </c>
      <c r="K235" s="3"/>
      <c r="L235" s="6"/>
      <c r="M235" s="20"/>
      <c r="O235" s="3"/>
      <c r="P235" s="3"/>
      <c r="Q235" s="3"/>
      <c r="R235" s="3">
        <v>1</v>
      </c>
      <c r="S235" s="3"/>
    </row>
    <row r="236" spans="1:19" ht="25" customHeight="1" x14ac:dyDescent="0.3">
      <c r="A236" s="3"/>
      <c r="B236" s="3" t="s">
        <v>1492</v>
      </c>
      <c r="C236" s="3" t="s">
        <v>203</v>
      </c>
      <c r="D236" s="3" t="s">
        <v>857</v>
      </c>
      <c r="E236" s="3">
        <v>26</v>
      </c>
      <c r="F236" s="3" t="s">
        <v>35</v>
      </c>
      <c r="G236" s="3" t="s">
        <v>29</v>
      </c>
      <c r="H236" s="3"/>
      <c r="I236" s="3"/>
      <c r="J236" s="3" t="s">
        <v>1990</v>
      </c>
      <c r="K236" s="3"/>
      <c r="L236" s="6"/>
      <c r="M236" s="20"/>
      <c r="O236" s="3">
        <v>1</v>
      </c>
      <c r="P236" s="3"/>
      <c r="Q236" s="3"/>
      <c r="R236" s="3"/>
      <c r="S236" s="3"/>
    </row>
    <row r="237" spans="1:19" ht="25" customHeight="1" x14ac:dyDescent="0.3">
      <c r="A237" s="3"/>
      <c r="B237" s="3" t="s">
        <v>2068</v>
      </c>
      <c r="C237" s="3" t="s">
        <v>433</v>
      </c>
      <c r="D237" s="3" t="s">
        <v>111</v>
      </c>
      <c r="E237" s="3">
        <v>26</v>
      </c>
      <c r="F237" s="3" t="s">
        <v>35</v>
      </c>
      <c r="G237" s="3" t="s">
        <v>36</v>
      </c>
      <c r="H237" s="3"/>
      <c r="I237" s="3"/>
      <c r="J237" s="3" t="s">
        <v>2092</v>
      </c>
      <c r="K237" s="3"/>
      <c r="L237" s="6"/>
      <c r="M237" s="20"/>
      <c r="O237" s="3"/>
      <c r="P237" s="3"/>
      <c r="Q237" s="3">
        <v>1</v>
      </c>
      <c r="R237" s="3"/>
      <c r="S237" s="3"/>
    </row>
    <row r="238" spans="1:19" ht="25" customHeight="1" x14ac:dyDescent="0.3">
      <c r="A238" s="3"/>
      <c r="B238" s="3" t="s">
        <v>2069</v>
      </c>
      <c r="C238" s="3" t="s">
        <v>2070</v>
      </c>
      <c r="D238" s="3" t="s">
        <v>2071</v>
      </c>
      <c r="E238" s="3">
        <v>25</v>
      </c>
      <c r="F238" s="3" t="s">
        <v>35</v>
      </c>
      <c r="G238" s="3" t="s">
        <v>24</v>
      </c>
      <c r="H238" s="3"/>
      <c r="I238" s="3"/>
      <c r="J238" s="3" t="s">
        <v>952</v>
      </c>
      <c r="K238" s="3"/>
      <c r="L238" s="6"/>
      <c r="M238" s="20"/>
      <c r="O238" s="3"/>
      <c r="P238" s="3">
        <v>1</v>
      </c>
      <c r="Q238" s="3"/>
      <c r="R238" s="3"/>
      <c r="S238" s="3"/>
    </row>
    <row r="239" spans="1:19" ht="25" customHeight="1" x14ac:dyDescent="0.3">
      <c r="A239" s="3"/>
      <c r="B239" s="41" t="s">
        <v>2072</v>
      </c>
      <c r="C239" s="41" t="s">
        <v>126</v>
      </c>
      <c r="D239" s="41" t="s">
        <v>711</v>
      </c>
      <c r="E239" s="42">
        <v>33</v>
      </c>
      <c r="F239" s="3" t="s">
        <v>35</v>
      </c>
      <c r="G239" s="3" t="s">
        <v>24</v>
      </c>
      <c r="H239" s="3"/>
      <c r="I239" s="3"/>
      <c r="J239" s="3" t="s">
        <v>2005</v>
      </c>
      <c r="K239" s="3"/>
      <c r="L239" s="6"/>
      <c r="M239" s="20"/>
      <c r="O239" s="3"/>
      <c r="P239" s="3">
        <v>1</v>
      </c>
      <c r="Q239" s="3"/>
      <c r="R239" s="3"/>
      <c r="S239" s="3"/>
    </row>
    <row r="240" spans="1:19" ht="25" customHeight="1" x14ac:dyDescent="0.3">
      <c r="A240" s="3"/>
      <c r="B240" s="3" t="s">
        <v>2073</v>
      </c>
      <c r="C240" s="3" t="s">
        <v>91</v>
      </c>
      <c r="D240" s="3" t="s">
        <v>811</v>
      </c>
      <c r="E240" s="3">
        <v>30</v>
      </c>
      <c r="F240" s="3" t="s">
        <v>35</v>
      </c>
      <c r="G240" s="3" t="s">
        <v>24</v>
      </c>
      <c r="H240" s="3"/>
      <c r="I240" s="3"/>
      <c r="J240" s="3" t="s">
        <v>453</v>
      </c>
      <c r="K240" s="3"/>
      <c r="L240" s="6"/>
      <c r="M240" s="20"/>
      <c r="O240" s="3"/>
      <c r="P240" s="3">
        <v>1</v>
      </c>
      <c r="Q240" s="3"/>
      <c r="R240" s="3"/>
      <c r="S240" s="3"/>
    </row>
    <row r="241" spans="1:19" ht="25" customHeight="1" x14ac:dyDescent="0.3">
      <c r="A241" s="3"/>
      <c r="B241" s="3" t="s">
        <v>1380</v>
      </c>
      <c r="C241" s="3" t="s">
        <v>2074</v>
      </c>
      <c r="D241" s="3" t="s">
        <v>339</v>
      </c>
      <c r="E241" s="3">
        <v>27</v>
      </c>
      <c r="F241" s="3" t="s">
        <v>35</v>
      </c>
      <c r="G241" s="3" t="s">
        <v>24</v>
      </c>
      <c r="H241" s="3"/>
      <c r="I241" s="3"/>
      <c r="J241" s="3" t="s">
        <v>923</v>
      </c>
      <c r="K241" s="3"/>
      <c r="L241" s="6"/>
      <c r="M241" s="20"/>
      <c r="O241" s="3"/>
      <c r="P241" s="3">
        <v>1</v>
      </c>
      <c r="Q241" s="3"/>
      <c r="R241" s="3"/>
      <c r="S241" s="3"/>
    </row>
    <row r="242" spans="1:19" ht="25" customHeight="1" x14ac:dyDescent="0.3">
      <c r="A242" s="3"/>
      <c r="B242" s="3" t="s">
        <v>718</v>
      </c>
      <c r="C242" s="3" t="s">
        <v>2075</v>
      </c>
      <c r="D242" s="3" t="s">
        <v>720</v>
      </c>
      <c r="E242" s="3">
        <v>28</v>
      </c>
      <c r="F242" s="3" t="s">
        <v>35</v>
      </c>
      <c r="G242" s="3" t="s">
        <v>64</v>
      </c>
      <c r="H242" s="3"/>
      <c r="I242" s="3"/>
      <c r="J242" s="3" t="s">
        <v>923</v>
      </c>
      <c r="K242" s="3"/>
      <c r="L242" s="6"/>
      <c r="M242" s="20"/>
      <c r="O242" s="3"/>
      <c r="P242" s="3"/>
      <c r="Q242" s="3"/>
      <c r="R242" s="3">
        <v>1</v>
      </c>
      <c r="S242" s="3"/>
    </row>
    <row r="243" spans="1:19" ht="25" customHeight="1" x14ac:dyDescent="0.3">
      <c r="A243" s="3"/>
      <c r="B243" s="3" t="s">
        <v>724</v>
      </c>
      <c r="C243" s="3" t="s">
        <v>2075</v>
      </c>
      <c r="D243" s="3" t="s">
        <v>720</v>
      </c>
      <c r="E243" s="3">
        <v>25</v>
      </c>
      <c r="F243" s="3" t="s">
        <v>35</v>
      </c>
      <c r="G243" s="3" t="s">
        <v>64</v>
      </c>
      <c r="H243" s="3"/>
      <c r="I243" s="3"/>
      <c r="J243" s="3" t="s">
        <v>923</v>
      </c>
      <c r="K243" s="3"/>
      <c r="L243" s="6"/>
      <c r="M243" s="20"/>
      <c r="O243" s="3"/>
      <c r="P243" s="3"/>
      <c r="Q243" s="3"/>
      <c r="R243" s="3">
        <v>1</v>
      </c>
      <c r="S243" s="3"/>
    </row>
    <row r="244" spans="1:19" ht="25" customHeight="1" x14ac:dyDescent="0.3">
      <c r="A244" s="3"/>
      <c r="B244" s="3" t="s">
        <v>725</v>
      </c>
      <c r="C244" s="3" t="s">
        <v>433</v>
      </c>
      <c r="D244" s="3" t="s">
        <v>99</v>
      </c>
      <c r="E244" s="3">
        <v>22</v>
      </c>
      <c r="F244" s="3" t="s">
        <v>35</v>
      </c>
      <c r="G244" s="3" t="s">
        <v>24</v>
      </c>
      <c r="H244" s="3"/>
      <c r="I244" s="3"/>
      <c r="J244" s="3" t="s">
        <v>923</v>
      </c>
      <c r="K244" s="3"/>
      <c r="L244" s="6"/>
      <c r="M244" s="20"/>
      <c r="O244" s="3"/>
      <c r="P244" s="3">
        <v>1</v>
      </c>
      <c r="Q244" s="3"/>
      <c r="R244" s="3"/>
      <c r="S244" s="3"/>
    </row>
    <row r="245" spans="1:19" ht="25" customHeight="1" x14ac:dyDescent="0.3">
      <c r="A245" s="3"/>
      <c r="B245" s="3" t="s">
        <v>1800</v>
      </c>
      <c r="C245" s="3" t="s">
        <v>137</v>
      </c>
      <c r="D245" s="3" t="s">
        <v>43</v>
      </c>
      <c r="E245" s="3">
        <v>22</v>
      </c>
      <c r="F245" s="3" t="s">
        <v>35</v>
      </c>
      <c r="G245" s="3" t="s">
        <v>36</v>
      </c>
      <c r="H245" s="3"/>
      <c r="I245" s="3"/>
      <c r="J245" s="3" t="s">
        <v>923</v>
      </c>
      <c r="K245" s="3"/>
      <c r="L245" s="6"/>
      <c r="M245" s="20"/>
      <c r="O245" s="3"/>
      <c r="P245" s="3"/>
      <c r="Q245" s="3">
        <v>1</v>
      </c>
      <c r="R245" s="3"/>
      <c r="S245" s="3"/>
    </row>
    <row r="246" spans="1:19" ht="25" customHeight="1" x14ac:dyDescent="0.3">
      <c r="A246" s="3"/>
      <c r="B246" s="3" t="s">
        <v>2076</v>
      </c>
      <c r="C246" s="3" t="s">
        <v>708</v>
      </c>
      <c r="D246" s="3" t="s">
        <v>203</v>
      </c>
      <c r="E246" s="3">
        <v>22</v>
      </c>
      <c r="F246" s="3" t="s">
        <v>35</v>
      </c>
      <c r="G246" s="3" t="s">
        <v>24</v>
      </c>
      <c r="H246" s="3"/>
      <c r="I246" s="3"/>
      <c r="J246" s="3" t="s">
        <v>923</v>
      </c>
      <c r="K246" s="3"/>
      <c r="L246" s="6"/>
      <c r="M246" s="20"/>
      <c r="O246" s="3"/>
      <c r="P246" s="3">
        <v>1</v>
      </c>
      <c r="Q246" s="3"/>
      <c r="R246" s="3"/>
      <c r="S246" s="3"/>
    </row>
    <row r="247" spans="1:19" ht="25" customHeight="1" x14ac:dyDescent="0.3">
      <c r="A247" s="3"/>
      <c r="B247" s="3" t="s">
        <v>721</v>
      </c>
      <c r="C247" s="3" t="s">
        <v>91</v>
      </c>
      <c r="D247" s="3" t="s">
        <v>723</v>
      </c>
      <c r="E247" s="3">
        <v>23</v>
      </c>
      <c r="F247" s="3" t="s">
        <v>35</v>
      </c>
      <c r="G247" s="3" t="s">
        <v>24</v>
      </c>
      <c r="H247" s="3"/>
      <c r="I247" s="3"/>
      <c r="J247" s="3" t="s">
        <v>923</v>
      </c>
      <c r="K247" s="3"/>
      <c r="L247" s="6"/>
      <c r="M247" s="20"/>
      <c r="O247" s="3"/>
      <c r="P247" s="3">
        <v>1</v>
      </c>
      <c r="Q247" s="3"/>
      <c r="R247" s="3"/>
      <c r="S247" s="3"/>
    </row>
    <row r="248" spans="1:19" ht="25" customHeight="1" x14ac:dyDescent="0.3">
      <c r="A248" s="3"/>
      <c r="B248" s="3" t="s">
        <v>1526</v>
      </c>
      <c r="C248" s="3" t="s">
        <v>555</v>
      </c>
      <c r="D248" s="3" t="s">
        <v>1979</v>
      </c>
      <c r="E248" s="3">
        <v>26</v>
      </c>
      <c r="F248" s="3" t="s">
        <v>35</v>
      </c>
      <c r="G248" s="3" t="s">
        <v>64</v>
      </c>
      <c r="H248" s="3"/>
      <c r="I248" s="3"/>
      <c r="J248" s="3" t="s">
        <v>923</v>
      </c>
      <c r="K248" s="3"/>
      <c r="L248" s="6"/>
      <c r="M248" s="20"/>
      <c r="O248" s="3"/>
      <c r="P248" s="3"/>
      <c r="Q248" s="3"/>
      <c r="R248" s="3">
        <v>1</v>
      </c>
      <c r="S248" s="3"/>
    </row>
    <row r="249" spans="1:19" ht="25" customHeight="1" x14ac:dyDescent="0.3">
      <c r="A249" s="3"/>
      <c r="B249" s="3" t="s">
        <v>2077</v>
      </c>
      <c r="C249" s="3" t="s">
        <v>88</v>
      </c>
      <c r="D249" s="3" t="s">
        <v>708</v>
      </c>
      <c r="E249" s="3">
        <v>27</v>
      </c>
      <c r="F249" s="3" t="s">
        <v>35</v>
      </c>
      <c r="G249" s="3" t="s">
        <v>24</v>
      </c>
      <c r="H249" s="3"/>
      <c r="I249" s="3"/>
      <c r="J249" s="3" t="s">
        <v>923</v>
      </c>
      <c r="K249" s="3"/>
      <c r="L249" s="6"/>
      <c r="M249" s="20"/>
      <c r="O249" s="3"/>
      <c r="P249" s="3">
        <v>1</v>
      </c>
      <c r="Q249" s="3"/>
      <c r="R249" s="3"/>
      <c r="S249" s="3"/>
    </row>
    <row r="250" spans="1:19" ht="25" customHeight="1" x14ac:dyDescent="0.3">
      <c r="A250" s="3"/>
      <c r="B250" s="3" t="s">
        <v>128</v>
      </c>
      <c r="C250" s="3" t="s">
        <v>464</v>
      </c>
      <c r="D250" s="3" t="s">
        <v>2078</v>
      </c>
      <c r="E250" s="3">
        <v>26</v>
      </c>
      <c r="F250" s="3" t="s">
        <v>35</v>
      </c>
      <c r="G250" s="3" t="s">
        <v>24</v>
      </c>
      <c r="H250" s="3"/>
      <c r="I250" s="3"/>
      <c r="J250" s="3" t="s">
        <v>923</v>
      </c>
      <c r="K250" s="3"/>
      <c r="L250" s="6"/>
      <c r="M250" s="20"/>
      <c r="O250" s="3"/>
      <c r="P250" s="3">
        <v>1</v>
      </c>
      <c r="Q250" s="3"/>
      <c r="R250" s="3"/>
      <c r="S250" s="3"/>
    </row>
    <row r="251" spans="1:19" ht="25" customHeight="1" x14ac:dyDescent="0.3">
      <c r="A251" s="3"/>
      <c r="B251" s="3" t="s">
        <v>1565</v>
      </c>
      <c r="C251" s="3" t="s">
        <v>339</v>
      </c>
      <c r="D251" s="3" t="s">
        <v>1566</v>
      </c>
      <c r="E251" s="3">
        <v>27</v>
      </c>
      <c r="F251" s="3" t="s">
        <v>35</v>
      </c>
      <c r="G251" s="3" t="s">
        <v>36</v>
      </c>
      <c r="H251" s="3"/>
      <c r="I251" s="3"/>
      <c r="J251" s="3" t="s">
        <v>923</v>
      </c>
      <c r="K251" s="3"/>
      <c r="L251" s="6"/>
      <c r="M251" s="20"/>
      <c r="O251" s="3"/>
      <c r="P251" s="3"/>
      <c r="Q251" s="3">
        <v>1</v>
      </c>
      <c r="R251" s="3"/>
      <c r="S251" s="3"/>
    </row>
    <row r="252" spans="1:19" ht="25" customHeight="1" x14ac:dyDescent="0.3">
      <c r="A252" s="3"/>
      <c r="B252" s="3" t="s">
        <v>2079</v>
      </c>
      <c r="C252" s="3" t="s">
        <v>600</v>
      </c>
      <c r="D252" s="3" t="s">
        <v>711</v>
      </c>
      <c r="E252" s="3">
        <v>25</v>
      </c>
      <c r="F252" s="3" t="s">
        <v>35</v>
      </c>
      <c r="G252" s="3" t="s">
        <v>24</v>
      </c>
      <c r="H252" s="3"/>
      <c r="I252" s="3"/>
      <c r="J252" s="3" t="s">
        <v>923</v>
      </c>
      <c r="K252" s="3"/>
      <c r="L252" s="6"/>
      <c r="M252" s="20"/>
      <c r="O252" s="3"/>
      <c r="P252" s="3">
        <v>1</v>
      </c>
      <c r="Q252" s="3"/>
      <c r="R252" s="3"/>
      <c r="S252" s="3"/>
    </row>
    <row r="253" spans="1:19" ht="25" customHeight="1" x14ac:dyDescent="0.3">
      <c r="A253" s="3"/>
      <c r="B253" s="3" t="s">
        <v>1394</v>
      </c>
      <c r="C253" s="3" t="s">
        <v>88</v>
      </c>
      <c r="D253" s="3" t="s">
        <v>1395</v>
      </c>
      <c r="E253" s="3">
        <v>27</v>
      </c>
      <c r="F253" s="3" t="s">
        <v>35</v>
      </c>
      <c r="G253" s="3" t="s">
        <v>36</v>
      </c>
      <c r="H253" s="3"/>
      <c r="I253" s="3"/>
      <c r="J253" s="3" t="s">
        <v>923</v>
      </c>
      <c r="K253" s="3"/>
      <c r="L253" s="6"/>
      <c r="M253" s="20"/>
      <c r="O253" s="3"/>
      <c r="P253" s="3"/>
      <c r="Q253" s="3">
        <v>1</v>
      </c>
      <c r="R253" s="3"/>
      <c r="S253" s="3"/>
    </row>
    <row r="254" spans="1:19" ht="25" customHeight="1" x14ac:dyDescent="0.3">
      <c r="A254" s="3"/>
      <c r="B254" s="3" t="s">
        <v>1252</v>
      </c>
      <c r="C254" s="3" t="s">
        <v>227</v>
      </c>
      <c r="D254" s="3" t="s">
        <v>34</v>
      </c>
      <c r="E254" s="3">
        <v>30</v>
      </c>
      <c r="F254" s="3" t="s">
        <v>35</v>
      </c>
      <c r="G254" s="3" t="s">
        <v>2080</v>
      </c>
      <c r="H254" s="3"/>
      <c r="I254" s="3"/>
      <c r="J254" s="3" t="s">
        <v>923</v>
      </c>
      <c r="K254" s="3"/>
      <c r="L254" s="6"/>
      <c r="M254" s="20"/>
      <c r="O254" s="3"/>
      <c r="P254" s="3"/>
      <c r="Q254" s="3"/>
      <c r="R254" s="3">
        <v>1</v>
      </c>
      <c r="S254" s="3"/>
    </row>
    <row r="255" spans="1:19" ht="25" customHeight="1" x14ac:dyDescent="0.3">
      <c r="A255" s="3"/>
      <c r="B255" s="3" t="s">
        <v>2081</v>
      </c>
      <c r="C255" s="3" t="s">
        <v>214</v>
      </c>
      <c r="D255" s="3" t="s">
        <v>215</v>
      </c>
      <c r="E255" s="3">
        <v>26</v>
      </c>
      <c r="F255" s="3" t="s">
        <v>35</v>
      </c>
      <c r="G255" s="3" t="s">
        <v>24</v>
      </c>
      <c r="H255" s="3"/>
      <c r="I255" s="3"/>
      <c r="J255" s="3" t="s">
        <v>923</v>
      </c>
      <c r="K255" s="3"/>
      <c r="L255" s="6"/>
      <c r="M255" s="20"/>
      <c r="O255" s="3"/>
      <c r="P255" s="3">
        <v>1</v>
      </c>
      <c r="Q255" s="3"/>
      <c r="R255" s="3"/>
      <c r="S255" s="3"/>
    </row>
    <row r="256" spans="1:19" ht="25" customHeight="1" x14ac:dyDescent="0.3">
      <c r="A256" s="3"/>
      <c r="B256" s="3" t="s">
        <v>476</v>
      </c>
      <c r="C256" s="3" t="s">
        <v>478</v>
      </c>
      <c r="D256" s="3" t="s">
        <v>477</v>
      </c>
      <c r="E256" s="3">
        <v>27</v>
      </c>
      <c r="F256" s="3" t="s">
        <v>35</v>
      </c>
      <c r="G256" s="3" t="s">
        <v>36</v>
      </c>
      <c r="H256" s="3"/>
      <c r="I256" s="3"/>
      <c r="J256" s="3" t="s">
        <v>923</v>
      </c>
      <c r="K256" s="3"/>
      <c r="L256" s="6"/>
      <c r="M256" s="20"/>
      <c r="O256" s="3"/>
      <c r="P256" s="3"/>
      <c r="Q256" s="3">
        <v>1</v>
      </c>
      <c r="R256" s="3"/>
      <c r="S256" s="3"/>
    </row>
    <row r="257" spans="1:19" ht="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24"/>
      <c r="K257" s="3"/>
      <c r="L257" s="6"/>
      <c r="M257" s="5"/>
      <c r="O257" s="3"/>
      <c r="P257" s="3"/>
      <c r="Q257" s="3"/>
      <c r="R257" s="3"/>
      <c r="S257" s="3"/>
    </row>
    <row r="258" spans="1:19" ht="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24"/>
      <c r="K258" s="3"/>
      <c r="L258" s="6"/>
      <c r="M258" s="5"/>
      <c r="O258" s="3"/>
      <c r="P258" s="3"/>
      <c r="Q258" s="3"/>
      <c r="R258" s="3"/>
      <c r="S258" s="3"/>
    </row>
    <row r="259" spans="1:19" ht="25" customHeight="1" x14ac:dyDescent="0.3">
      <c r="A259" s="3"/>
      <c r="B259" s="36" t="s">
        <v>2164</v>
      </c>
      <c r="C259" s="36" t="s">
        <v>499</v>
      </c>
      <c r="D259" s="36" t="s">
        <v>2165</v>
      </c>
      <c r="E259" s="36">
        <v>26</v>
      </c>
      <c r="F259" s="36" t="s">
        <v>35</v>
      </c>
      <c r="G259" s="36" t="s">
        <v>36</v>
      </c>
      <c r="H259" s="3"/>
      <c r="I259" s="3"/>
      <c r="J259" s="36" t="s">
        <v>2166</v>
      </c>
      <c r="K259" s="3"/>
      <c r="L259" s="6"/>
      <c r="M259" s="5"/>
      <c r="O259" s="3"/>
      <c r="P259" s="3"/>
      <c r="Q259" s="3">
        <v>1</v>
      </c>
      <c r="R259" s="3"/>
      <c r="S259" s="3"/>
    </row>
    <row r="260" spans="1:19" ht="25" customHeight="1" x14ac:dyDescent="0.3">
      <c r="A260" s="3"/>
      <c r="B260" s="36" t="s">
        <v>2187</v>
      </c>
      <c r="C260" s="36" t="s">
        <v>734</v>
      </c>
      <c r="D260" s="36" t="s">
        <v>2188</v>
      </c>
      <c r="E260" s="36">
        <v>28</v>
      </c>
      <c r="F260" s="36" t="s">
        <v>35</v>
      </c>
      <c r="G260" s="36" t="s">
        <v>36</v>
      </c>
      <c r="H260" s="3"/>
      <c r="I260" s="3"/>
      <c r="J260" s="36" t="s">
        <v>2185</v>
      </c>
      <c r="K260" s="3"/>
      <c r="L260" s="6"/>
      <c r="M260" s="5"/>
      <c r="O260" s="3"/>
      <c r="P260" s="3"/>
      <c r="Q260" s="3">
        <v>1</v>
      </c>
      <c r="R260" s="3"/>
      <c r="S260" s="3"/>
    </row>
    <row r="261" spans="1:19" ht="25" customHeight="1" x14ac:dyDescent="0.3">
      <c r="A261" s="3"/>
      <c r="B261" s="36" t="s">
        <v>2189</v>
      </c>
      <c r="C261" s="36" t="s">
        <v>189</v>
      </c>
      <c r="D261" s="36" t="s">
        <v>2190</v>
      </c>
      <c r="E261" s="36">
        <v>26</v>
      </c>
      <c r="F261" s="36" t="s">
        <v>35</v>
      </c>
      <c r="G261" s="36" t="s">
        <v>24</v>
      </c>
      <c r="H261" s="3"/>
      <c r="I261" s="3"/>
      <c r="J261" s="36" t="s">
        <v>2185</v>
      </c>
      <c r="K261" s="3"/>
      <c r="L261" s="6"/>
      <c r="M261" s="5"/>
      <c r="O261" s="3"/>
      <c r="P261" s="3">
        <v>1</v>
      </c>
      <c r="Q261" s="3"/>
      <c r="R261" s="3"/>
      <c r="S261" s="3"/>
    </row>
    <row r="262" spans="1:19" ht="25" customHeight="1" x14ac:dyDescent="0.3">
      <c r="A262" s="3"/>
      <c r="B262" s="36" t="s">
        <v>2191</v>
      </c>
      <c r="C262" s="36" t="s">
        <v>1464</v>
      </c>
      <c r="D262" s="36" t="s">
        <v>674</v>
      </c>
      <c r="E262" s="36">
        <v>31</v>
      </c>
      <c r="F262" s="36" t="s">
        <v>35</v>
      </c>
      <c r="G262" s="36" t="s">
        <v>64</v>
      </c>
      <c r="H262" s="3"/>
      <c r="I262" s="3"/>
      <c r="J262" s="36" t="s">
        <v>2185</v>
      </c>
      <c r="K262" s="3"/>
      <c r="L262" s="6"/>
      <c r="M262" s="5"/>
      <c r="O262" s="3"/>
      <c r="P262" s="3"/>
      <c r="Q262" s="3"/>
      <c r="R262" s="3">
        <v>1</v>
      </c>
      <c r="S262" s="3"/>
    </row>
    <row r="263" spans="1:19" ht="25" customHeight="1" x14ac:dyDescent="0.3">
      <c r="A263" s="3"/>
      <c r="B263" s="36" t="s">
        <v>2192</v>
      </c>
      <c r="C263" s="36" t="s">
        <v>2193</v>
      </c>
      <c r="D263" s="36" t="s">
        <v>2194</v>
      </c>
      <c r="E263" s="36">
        <v>30</v>
      </c>
      <c r="F263" s="36" t="s">
        <v>35</v>
      </c>
      <c r="G263" s="36" t="s">
        <v>64</v>
      </c>
      <c r="H263" s="3"/>
      <c r="I263" s="3"/>
      <c r="J263" s="36" t="s">
        <v>2185</v>
      </c>
      <c r="K263" s="3"/>
      <c r="L263" s="6"/>
      <c r="M263" s="5"/>
      <c r="O263" s="3"/>
      <c r="P263" s="3"/>
      <c r="Q263" s="3"/>
      <c r="R263" s="3">
        <v>1</v>
      </c>
      <c r="S263" s="3"/>
    </row>
    <row r="264" spans="1:19" ht="25" customHeight="1" x14ac:dyDescent="0.3">
      <c r="A264" s="3"/>
      <c r="B264" s="36" t="s">
        <v>2195</v>
      </c>
      <c r="C264" s="36" t="s">
        <v>708</v>
      </c>
      <c r="D264" s="36" t="s">
        <v>433</v>
      </c>
      <c r="E264" s="36">
        <v>35</v>
      </c>
      <c r="F264" s="36" t="s">
        <v>35</v>
      </c>
      <c r="G264" s="36" t="s">
        <v>36</v>
      </c>
      <c r="H264" s="3"/>
      <c r="I264" s="3"/>
      <c r="J264" s="36" t="s">
        <v>2185</v>
      </c>
      <c r="K264" s="3"/>
      <c r="L264" s="6"/>
      <c r="M264" s="5"/>
      <c r="O264" s="3"/>
      <c r="P264" s="3"/>
      <c r="Q264" s="3">
        <v>1</v>
      </c>
      <c r="R264" s="3"/>
      <c r="S264" s="3"/>
    </row>
    <row r="265" spans="1:19" ht="25" customHeight="1" x14ac:dyDescent="0.3">
      <c r="A265" s="3"/>
      <c r="B265" s="36" t="s">
        <v>190</v>
      </c>
      <c r="C265" s="36" t="s">
        <v>85</v>
      </c>
      <c r="D265" s="36" t="s">
        <v>2196</v>
      </c>
      <c r="E265" s="36">
        <v>29</v>
      </c>
      <c r="F265" s="36" t="s">
        <v>35</v>
      </c>
      <c r="G265" s="36" t="s">
        <v>36</v>
      </c>
      <c r="H265" s="3"/>
      <c r="I265" s="3"/>
      <c r="J265" s="36" t="s">
        <v>2185</v>
      </c>
      <c r="K265" s="3"/>
      <c r="L265" s="6"/>
      <c r="M265" s="5"/>
      <c r="O265" s="3"/>
      <c r="P265" s="3"/>
      <c r="Q265" s="3">
        <v>1</v>
      </c>
      <c r="R265" s="3"/>
      <c r="S265" s="3"/>
    </row>
    <row r="266" spans="1:19" ht="25" customHeight="1" x14ac:dyDescent="0.3">
      <c r="A266" s="3"/>
      <c r="B266" s="36" t="s">
        <v>901</v>
      </c>
      <c r="C266" s="36" t="s">
        <v>203</v>
      </c>
      <c r="D266" s="36" t="s">
        <v>156</v>
      </c>
      <c r="E266" s="36">
        <v>29</v>
      </c>
      <c r="F266" s="36" t="s">
        <v>35</v>
      </c>
      <c r="G266" s="36" t="s">
        <v>24</v>
      </c>
      <c r="H266" s="3"/>
      <c r="I266" s="3"/>
      <c r="J266" s="36" t="s">
        <v>2185</v>
      </c>
      <c r="K266" s="3"/>
      <c r="L266" s="6"/>
      <c r="M266" s="5"/>
      <c r="O266" s="3"/>
      <c r="P266" s="3">
        <v>1</v>
      </c>
      <c r="Q266" s="3"/>
      <c r="R266" s="3"/>
      <c r="S266" s="3"/>
    </row>
    <row r="267" spans="1:19" ht="25" customHeight="1" x14ac:dyDescent="0.3">
      <c r="A267" s="3"/>
      <c r="B267" s="36" t="s">
        <v>2143</v>
      </c>
      <c r="C267" s="36" t="s">
        <v>214</v>
      </c>
      <c r="D267" s="36" t="s">
        <v>708</v>
      </c>
      <c r="E267" s="36">
        <v>29</v>
      </c>
      <c r="F267" s="36" t="s">
        <v>35</v>
      </c>
      <c r="G267" s="36" t="s">
        <v>36</v>
      </c>
      <c r="H267" s="3"/>
      <c r="I267" s="3"/>
      <c r="J267" s="36" t="s">
        <v>2185</v>
      </c>
      <c r="K267" s="3"/>
      <c r="L267" s="6"/>
      <c r="M267" s="5"/>
      <c r="O267" s="3"/>
      <c r="P267" s="3"/>
      <c r="Q267" s="3">
        <v>1</v>
      </c>
      <c r="R267" s="3"/>
      <c r="S267" s="3"/>
    </row>
    <row r="268" spans="1:19" ht="25" customHeight="1" x14ac:dyDescent="0.3">
      <c r="A268" s="3"/>
      <c r="B268" s="36" t="s">
        <v>1705</v>
      </c>
      <c r="C268" s="36" t="s">
        <v>2197</v>
      </c>
      <c r="D268" s="36" t="s">
        <v>2198</v>
      </c>
      <c r="E268" s="36">
        <v>28</v>
      </c>
      <c r="F268" s="36" t="s">
        <v>35</v>
      </c>
      <c r="G268" s="36" t="s">
        <v>36</v>
      </c>
      <c r="H268" s="3"/>
      <c r="I268" s="3"/>
      <c r="J268" s="36" t="s">
        <v>2185</v>
      </c>
      <c r="K268" s="3"/>
      <c r="L268" s="6"/>
      <c r="M268" s="5"/>
      <c r="O268" s="3"/>
      <c r="P268" s="3"/>
      <c r="Q268" s="3">
        <v>1</v>
      </c>
      <c r="R268" s="3"/>
      <c r="S268" s="3"/>
    </row>
    <row r="269" spans="1:19" ht="25" customHeight="1" x14ac:dyDescent="0.3">
      <c r="A269" s="3"/>
      <c r="B269" s="36" t="s">
        <v>2199</v>
      </c>
      <c r="C269" s="36" t="s">
        <v>2200</v>
      </c>
      <c r="D269" s="36" t="s">
        <v>174</v>
      </c>
      <c r="E269" s="36">
        <v>24</v>
      </c>
      <c r="F269" s="36" t="s">
        <v>35</v>
      </c>
      <c r="G269" s="36" t="s">
        <v>24</v>
      </c>
      <c r="H269" s="3"/>
      <c r="I269" s="3"/>
      <c r="J269" s="36" t="s">
        <v>2185</v>
      </c>
      <c r="K269" s="3"/>
      <c r="L269" s="6"/>
      <c r="M269" s="5"/>
      <c r="O269" s="3"/>
      <c r="P269" s="3">
        <v>1</v>
      </c>
      <c r="Q269" s="3"/>
      <c r="R269" s="3"/>
      <c r="S269" s="3"/>
    </row>
    <row r="270" spans="1:19" ht="25" customHeight="1" x14ac:dyDescent="0.3">
      <c r="A270" s="3"/>
      <c r="B270" s="36" t="s">
        <v>2201</v>
      </c>
      <c r="C270" s="36" t="s">
        <v>1956</v>
      </c>
      <c r="D270" s="36" t="s">
        <v>900</v>
      </c>
      <c r="E270" s="36">
        <v>26</v>
      </c>
      <c r="F270" s="36" t="s">
        <v>35</v>
      </c>
      <c r="G270" s="36" t="s">
        <v>29</v>
      </c>
      <c r="H270" s="3"/>
      <c r="I270" s="3"/>
      <c r="J270" s="36" t="s">
        <v>2185</v>
      </c>
      <c r="K270" s="3"/>
      <c r="L270" s="6"/>
      <c r="M270" s="5"/>
      <c r="O270" s="3">
        <v>1</v>
      </c>
      <c r="P270" s="3"/>
      <c r="Q270" s="3"/>
      <c r="R270" s="3"/>
      <c r="S270" s="3"/>
    </row>
    <row r="271" spans="1:19" ht="25" customHeight="1" x14ac:dyDescent="0.3">
      <c r="A271" s="3"/>
      <c r="B271" s="36" t="s">
        <v>2202</v>
      </c>
      <c r="C271" s="36" t="s">
        <v>215</v>
      </c>
      <c r="D271" s="36" t="s">
        <v>137</v>
      </c>
      <c r="E271" s="36">
        <v>34</v>
      </c>
      <c r="F271" s="36" t="s">
        <v>35</v>
      </c>
      <c r="G271" s="36" t="s">
        <v>65</v>
      </c>
      <c r="H271" s="3"/>
      <c r="I271" s="3"/>
      <c r="J271" s="36" t="s">
        <v>2185</v>
      </c>
      <c r="K271" s="3"/>
      <c r="L271" s="6"/>
      <c r="M271" s="5"/>
      <c r="O271" s="3"/>
      <c r="P271" s="3"/>
      <c r="Q271" s="3"/>
      <c r="R271" s="3"/>
      <c r="S271" s="3">
        <v>1</v>
      </c>
    </row>
    <row r="272" spans="1:19" ht="25" customHeight="1" x14ac:dyDescent="0.3">
      <c r="A272" s="3"/>
      <c r="B272" s="36" t="s">
        <v>2203</v>
      </c>
      <c r="C272" s="36" t="s">
        <v>85</v>
      </c>
      <c r="D272" s="36" t="s">
        <v>203</v>
      </c>
      <c r="E272" s="36">
        <v>27</v>
      </c>
      <c r="F272" s="36" t="s">
        <v>35</v>
      </c>
      <c r="G272" s="36" t="s">
        <v>24</v>
      </c>
      <c r="H272" s="3"/>
      <c r="I272" s="3"/>
      <c r="J272" s="36" t="s">
        <v>2185</v>
      </c>
      <c r="K272" s="3"/>
      <c r="L272" s="6"/>
      <c r="M272" s="5"/>
      <c r="O272" s="3"/>
      <c r="P272" s="3">
        <v>1</v>
      </c>
      <c r="Q272" s="3"/>
      <c r="R272" s="3"/>
      <c r="S272" s="3"/>
    </row>
    <row r="273" spans="1:19" ht="25" customHeight="1" x14ac:dyDescent="0.3">
      <c r="A273" s="3"/>
      <c r="B273" s="36" t="s">
        <v>2204</v>
      </c>
      <c r="C273" s="36" t="s">
        <v>137</v>
      </c>
      <c r="D273" s="36" t="s">
        <v>558</v>
      </c>
      <c r="E273" s="36">
        <v>29</v>
      </c>
      <c r="F273" s="36" t="s">
        <v>35</v>
      </c>
      <c r="G273" s="36" t="s">
        <v>36</v>
      </c>
      <c r="H273" s="3"/>
      <c r="I273" s="3"/>
      <c r="J273" s="36" t="s">
        <v>2185</v>
      </c>
      <c r="K273" s="3"/>
      <c r="L273" s="6"/>
      <c r="M273" s="5"/>
      <c r="O273" s="3"/>
      <c r="P273" s="3"/>
      <c r="Q273" s="3">
        <v>1</v>
      </c>
      <c r="R273" s="3"/>
      <c r="S273" s="3"/>
    </row>
    <row r="274" spans="1:19" ht="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24"/>
      <c r="K274" s="3"/>
      <c r="L274" s="6"/>
      <c r="M274" s="5"/>
      <c r="O274" s="3"/>
      <c r="P274" s="3"/>
      <c r="Q274" s="3"/>
      <c r="R274" s="3"/>
      <c r="S274" s="3"/>
    </row>
    <row r="275" spans="1:19" ht="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24"/>
      <c r="K275" s="3"/>
      <c r="L275" s="6"/>
      <c r="M275" s="5"/>
      <c r="O275" s="3"/>
      <c r="P275" s="3"/>
      <c r="Q275" s="3"/>
      <c r="R275" s="3"/>
      <c r="S275" s="3"/>
    </row>
    <row r="276" spans="1:19" ht="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24"/>
      <c r="K276" s="3"/>
      <c r="L276" s="6"/>
      <c r="M276" s="5"/>
      <c r="O276" s="3"/>
      <c r="P276" s="3"/>
      <c r="Q276" s="3"/>
      <c r="R276" s="3"/>
      <c r="S276" s="3"/>
    </row>
    <row r="277" spans="1:19" ht="25" customHeight="1" x14ac:dyDescent="0.3">
      <c r="F277" s="7" t="s">
        <v>55</v>
      </c>
      <c r="G277" s="10">
        <f>O277+P277+Q277+R277+S277</f>
        <v>260</v>
      </c>
      <c r="J277" s="19"/>
      <c r="K277" s="7"/>
      <c r="L277" s="9"/>
      <c r="M277" s="8"/>
      <c r="O277" s="7">
        <f>SUM(O10:O276)</f>
        <v>15</v>
      </c>
      <c r="P277" s="7">
        <f>SUM(P10:P276)</f>
        <v>124</v>
      </c>
      <c r="Q277" s="7">
        <f>SUM(Q10:Q276)</f>
        <v>77</v>
      </c>
      <c r="R277" s="7">
        <f>SUM(R10:R276)</f>
        <v>35</v>
      </c>
      <c r="S277" s="7">
        <f>SUM(S10:S276)</f>
        <v>9</v>
      </c>
    </row>
    <row r="278" spans="1:19" ht="25" customHeight="1" x14ac:dyDescent="0.3"/>
  </sheetData>
  <mergeCells count="6">
    <mergeCell ref="A2:I2"/>
    <mergeCell ref="A3:I3"/>
    <mergeCell ref="A4:I4"/>
    <mergeCell ref="A6:I6"/>
    <mergeCell ref="A8:I8"/>
    <mergeCell ref="A7:I7"/>
  </mergeCell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C37F-A6FF-4BA9-83A4-6CB97BAAE156}">
  <dimension ref="A1:S138"/>
  <sheetViews>
    <sheetView workbookViewId="0">
      <pane xSplit="7" ySplit="7" topLeftCell="H56" activePane="bottomRight" state="frozenSplit"/>
      <selection pane="topRight" activeCell="H1" sqref="H1"/>
      <selection pane="bottomLeft" activeCell="A11" sqref="A11"/>
      <selection pane="bottomRight" activeCell="D57" sqref="D57"/>
    </sheetView>
  </sheetViews>
  <sheetFormatPr baseColWidth="10" defaultColWidth="11.453125" defaultRowHeight="14" x14ac:dyDescent="0.3"/>
  <cols>
    <col min="1" max="1" width="11.453125" style="18"/>
    <col min="2" max="4" width="20.7265625" style="18" customWidth="1"/>
    <col min="5" max="5" width="11.453125" style="18"/>
    <col min="6" max="6" width="14" style="18" bestFit="1" customWidth="1"/>
    <col min="7" max="7" width="18.81640625" style="18" bestFit="1" customWidth="1"/>
    <col min="8" max="8" width="20.453125" style="18" bestFit="1" customWidth="1"/>
    <col min="9" max="9" width="18.1796875" style="18" bestFit="1" customWidth="1"/>
    <col min="10" max="10" width="19.7265625" style="18" customWidth="1"/>
    <col min="11" max="11" width="18.1796875" style="18" hidden="1" customWidth="1"/>
    <col min="12" max="12" width="19.1796875" style="18" hidden="1" customWidth="1"/>
    <col min="13" max="13" width="18.1796875" style="18" hidden="1" customWidth="1"/>
    <col min="14" max="16384" width="11.453125" style="18"/>
  </cols>
  <sheetData>
    <row r="1" spans="1:19" ht="20.5" x14ac:dyDescent="0.45">
      <c r="A1" s="49" t="s">
        <v>9</v>
      </c>
      <c r="B1" s="49"/>
      <c r="C1" s="49"/>
      <c r="D1" s="49"/>
      <c r="E1" s="49"/>
      <c r="F1" s="49"/>
      <c r="G1" s="49"/>
      <c r="H1" s="49"/>
      <c r="I1" s="49"/>
    </row>
    <row r="2" spans="1:19" ht="20.5" x14ac:dyDescent="0.45">
      <c r="A2" s="49" t="s">
        <v>10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11</v>
      </c>
      <c r="B3" s="49"/>
      <c r="C3" s="49"/>
      <c r="D3" s="49"/>
      <c r="E3" s="49"/>
      <c r="F3" s="49"/>
      <c r="G3" s="49"/>
      <c r="H3" s="49"/>
      <c r="I3" s="49"/>
    </row>
    <row r="4" spans="1:19" ht="18" x14ac:dyDescent="0.4">
      <c r="A4" s="50" t="s">
        <v>14</v>
      </c>
      <c r="B4" s="50"/>
      <c r="C4" s="50"/>
      <c r="D4" s="50"/>
      <c r="E4" s="50"/>
      <c r="F4" s="50"/>
      <c r="G4" s="50"/>
      <c r="H4" s="50"/>
      <c r="I4" s="50"/>
    </row>
    <row r="5" spans="1:19" ht="18" x14ac:dyDescent="0.4">
      <c r="A5" s="50" t="s">
        <v>19</v>
      </c>
      <c r="B5" s="50"/>
      <c r="C5" s="50"/>
      <c r="D5" s="50"/>
      <c r="E5" s="50"/>
      <c r="F5" s="50"/>
      <c r="G5" s="50"/>
      <c r="H5" s="50"/>
      <c r="I5" s="50"/>
    </row>
    <row r="6" spans="1:19" ht="18" x14ac:dyDescent="0.4">
      <c r="A6" s="51"/>
      <c r="B6" s="51"/>
      <c r="C6" s="51"/>
      <c r="D6" s="51"/>
      <c r="E6" s="51"/>
      <c r="F6" s="51"/>
      <c r="G6" s="51"/>
      <c r="H6" s="51"/>
      <c r="I6" s="51"/>
    </row>
    <row r="7" spans="1:19" ht="15.5" x14ac:dyDescent="0.35">
      <c r="A7" s="2" t="s">
        <v>6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7</v>
      </c>
      <c r="I7" s="2" t="s">
        <v>8</v>
      </c>
      <c r="J7" s="2" t="s">
        <v>316</v>
      </c>
      <c r="K7" s="2" t="s">
        <v>15</v>
      </c>
      <c r="L7" s="2" t="s">
        <v>16</v>
      </c>
      <c r="M7" s="2" t="s">
        <v>17</v>
      </c>
      <c r="O7" s="35" t="s">
        <v>29</v>
      </c>
      <c r="P7" s="35" t="s">
        <v>24</v>
      </c>
      <c r="Q7" s="35" t="s">
        <v>36</v>
      </c>
      <c r="R7" s="35" t="s">
        <v>66</v>
      </c>
      <c r="S7" s="35" t="s">
        <v>65</v>
      </c>
    </row>
    <row r="8" spans="1:19" ht="25" customHeight="1" x14ac:dyDescent="0.3">
      <c r="A8" s="3"/>
      <c r="B8" s="3" t="s">
        <v>32</v>
      </c>
      <c r="C8" s="3" t="s">
        <v>33</v>
      </c>
      <c r="D8" s="3" t="s">
        <v>34</v>
      </c>
      <c r="E8" s="3">
        <v>49</v>
      </c>
      <c r="F8" s="3" t="s">
        <v>35</v>
      </c>
      <c r="G8" s="3" t="s">
        <v>36</v>
      </c>
      <c r="H8" s="3"/>
      <c r="I8" s="3"/>
      <c r="J8" s="24"/>
      <c r="K8" s="3" t="s">
        <v>30</v>
      </c>
      <c r="L8" s="3">
        <v>86688192</v>
      </c>
      <c r="M8" s="20">
        <v>200</v>
      </c>
      <c r="O8" s="3"/>
      <c r="P8" s="3"/>
      <c r="Q8" s="3">
        <v>1</v>
      </c>
      <c r="R8" s="3"/>
      <c r="S8" s="3"/>
    </row>
    <row r="9" spans="1:19" ht="25" customHeight="1" x14ac:dyDescent="0.3">
      <c r="A9" s="3"/>
      <c r="B9" s="3" t="s">
        <v>63</v>
      </c>
      <c r="C9" s="3" t="s">
        <v>62</v>
      </c>
      <c r="D9" s="3" t="s">
        <v>61</v>
      </c>
      <c r="E9" s="3">
        <v>39</v>
      </c>
      <c r="F9" s="3" t="s">
        <v>35</v>
      </c>
      <c r="G9" s="3" t="s">
        <v>24</v>
      </c>
      <c r="H9" s="3"/>
      <c r="I9" s="3"/>
      <c r="J9" s="24"/>
      <c r="K9" s="3" t="s">
        <v>25</v>
      </c>
      <c r="L9" s="3">
        <v>8196287</v>
      </c>
      <c r="M9" s="20">
        <v>200</v>
      </c>
      <c r="O9" s="3"/>
      <c r="P9" s="3">
        <v>1</v>
      </c>
      <c r="Q9" s="3"/>
      <c r="R9" s="3"/>
      <c r="S9" s="3"/>
    </row>
    <row r="10" spans="1:19" ht="25" customHeight="1" x14ac:dyDescent="0.3">
      <c r="A10" s="3"/>
      <c r="B10" s="3" t="s">
        <v>161</v>
      </c>
      <c r="C10" s="3" t="s">
        <v>162</v>
      </c>
      <c r="D10" s="3" t="s">
        <v>163</v>
      </c>
      <c r="E10" s="3">
        <v>48</v>
      </c>
      <c r="F10" s="3" t="s">
        <v>35</v>
      </c>
      <c r="G10" s="3" t="s">
        <v>36</v>
      </c>
      <c r="H10" s="3"/>
      <c r="I10" s="3"/>
      <c r="J10" s="24"/>
      <c r="K10" s="3" t="s">
        <v>25</v>
      </c>
      <c r="L10" s="3">
        <v>8196287</v>
      </c>
      <c r="M10" s="20">
        <v>200</v>
      </c>
      <c r="O10" s="3"/>
      <c r="P10" s="3"/>
      <c r="Q10" s="3">
        <v>1</v>
      </c>
      <c r="R10" s="3"/>
      <c r="S10" s="3"/>
    </row>
    <row r="11" spans="1:19" ht="25" customHeight="1" x14ac:dyDescent="0.3">
      <c r="A11" s="3"/>
      <c r="B11" s="3" t="s">
        <v>164</v>
      </c>
      <c r="C11" s="3" t="s">
        <v>86</v>
      </c>
      <c r="D11" s="3" t="s">
        <v>91</v>
      </c>
      <c r="E11" s="3">
        <v>38</v>
      </c>
      <c r="F11" s="3" t="s">
        <v>35</v>
      </c>
      <c r="G11" s="3" t="s">
        <v>24</v>
      </c>
      <c r="H11" s="3"/>
      <c r="I11" s="3"/>
      <c r="J11" s="24"/>
      <c r="K11" s="3" t="s">
        <v>25</v>
      </c>
      <c r="L11" s="3">
        <v>8196287</v>
      </c>
      <c r="M11" s="20">
        <v>200</v>
      </c>
      <c r="O11" s="3"/>
      <c r="P11" s="3">
        <v>1</v>
      </c>
      <c r="Q11" s="3"/>
      <c r="R11" s="3"/>
      <c r="S11" s="3"/>
    </row>
    <row r="12" spans="1:19" ht="25" customHeight="1" x14ac:dyDescent="0.3">
      <c r="A12" s="3"/>
      <c r="B12" s="3" t="s">
        <v>165</v>
      </c>
      <c r="C12" s="3" t="s">
        <v>91</v>
      </c>
      <c r="D12" s="3" t="s">
        <v>166</v>
      </c>
      <c r="E12" s="3">
        <v>48</v>
      </c>
      <c r="F12" s="3" t="s">
        <v>35</v>
      </c>
      <c r="G12" s="3" t="s">
        <v>65</v>
      </c>
      <c r="H12" s="3"/>
      <c r="I12" s="3"/>
      <c r="J12" s="24"/>
      <c r="K12" s="3" t="s">
        <v>25</v>
      </c>
      <c r="L12" s="3">
        <v>8196287</v>
      </c>
      <c r="M12" s="20">
        <v>200</v>
      </c>
      <c r="O12" s="3"/>
      <c r="P12" s="3"/>
      <c r="Q12" s="3"/>
      <c r="R12" s="3"/>
      <c r="S12" s="3">
        <v>1</v>
      </c>
    </row>
    <row r="13" spans="1:19" ht="25" customHeight="1" x14ac:dyDescent="0.3">
      <c r="A13" s="3"/>
      <c r="B13" s="3" t="s">
        <v>167</v>
      </c>
      <c r="C13" s="3" t="s">
        <v>168</v>
      </c>
      <c r="D13" s="3" t="s">
        <v>169</v>
      </c>
      <c r="E13" s="3">
        <v>45</v>
      </c>
      <c r="F13" s="3" t="s">
        <v>35</v>
      </c>
      <c r="G13" s="3" t="s">
        <v>24</v>
      </c>
      <c r="H13" s="3"/>
      <c r="I13" s="3"/>
      <c r="J13" s="24"/>
      <c r="K13" s="3" t="s">
        <v>82</v>
      </c>
      <c r="L13" s="6">
        <v>180750656894</v>
      </c>
      <c r="M13" s="20">
        <v>200</v>
      </c>
      <c r="O13" s="3"/>
      <c r="P13" s="3">
        <v>1</v>
      </c>
      <c r="Q13" s="3"/>
      <c r="R13" s="3"/>
      <c r="S13" s="3"/>
    </row>
    <row r="14" spans="1:19" ht="25" customHeight="1" x14ac:dyDescent="0.3">
      <c r="A14" s="3"/>
      <c r="B14" s="3" t="s">
        <v>185</v>
      </c>
      <c r="C14" s="3" t="s">
        <v>186</v>
      </c>
      <c r="D14" s="3" t="s">
        <v>187</v>
      </c>
      <c r="E14" s="3">
        <v>48</v>
      </c>
      <c r="F14" s="3" t="s">
        <v>35</v>
      </c>
      <c r="G14" s="3" t="s">
        <v>36</v>
      </c>
      <c r="H14" s="3"/>
      <c r="I14" s="3"/>
      <c r="J14" s="24"/>
      <c r="K14" s="3" t="s">
        <v>82</v>
      </c>
      <c r="L14" s="6">
        <v>179823038643</v>
      </c>
      <c r="M14" s="20">
        <v>200</v>
      </c>
      <c r="O14" s="3"/>
      <c r="P14" s="3"/>
      <c r="Q14" s="3">
        <v>1</v>
      </c>
      <c r="R14" s="3"/>
      <c r="S14" s="3"/>
    </row>
    <row r="15" spans="1:19" ht="25" customHeight="1" x14ac:dyDescent="0.3">
      <c r="A15" s="3"/>
      <c r="B15" s="45" t="s">
        <v>190</v>
      </c>
      <c r="C15" s="3" t="s">
        <v>191</v>
      </c>
      <c r="D15" s="3" t="s">
        <v>192</v>
      </c>
      <c r="E15" s="3">
        <v>50</v>
      </c>
      <c r="F15" s="3" t="s">
        <v>35</v>
      </c>
      <c r="G15" s="3" t="s">
        <v>24</v>
      </c>
      <c r="H15" s="3"/>
      <c r="I15" s="3"/>
      <c r="J15" s="24"/>
      <c r="K15" s="3" t="s">
        <v>30</v>
      </c>
      <c r="L15" s="3">
        <v>35424120</v>
      </c>
      <c r="M15" s="20">
        <v>200</v>
      </c>
      <c r="O15" s="3"/>
      <c r="P15" s="3">
        <v>1</v>
      </c>
      <c r="Q15" s="3"/>
      <c r="R15" s="3"/>
      <c r="S15" s="3"/>
    </row>
    <row r="16" spans="1:19" ht="25" customHeight="1" x14ac:dyDescent="0.3">
      <c r="A16" s="3"/>
      <c r="B16" s="3" t="s">
        <v>193</v>
      </c>
      <c r="C16" s="3" t="s">
        <v>194</v>
      </c>
      <c r="D16" s="3" t="s">
        <v>195</v>
      </c>
      <c r="E16" s="3">
        <v>36</v>
      </c>
      <c r="F16" s="3" t="s">
        <v>35</v>
      </c>
      <c r="G16" s="3" t="s">
        <v>36</v>
      </c>
      <c r="H16" s="3"/>
      <c r="I16" s="3"/>
      <c r="J16" s="24"/>
      <c r="K16" s="3" t="s">
        <v>30</v>
      </c>
      <c r="L16" s="3">
        <v>59242080</v>
      </c>
      <c r="M16" s="20">
        <v>200</v>
      </c>
      <c r="O16" s="3"/>
      <c r="P16" s="3"/>
      <c r="Q16" s="3">
        <v>1</v>
      </c>
      <c r="R16" s="3"/>
      <c r="S16" s="3"/>
    </row>
    <row r="17" spans="1:19" ht="25" customHeight="1" x14ac:dyDescent="0.3">
      <c r="A17" s="3"/>
      <c r="B17" s="3" t="s">
        <v>211</v>
      </c>
      <c r="C17" s="3" t="s">
        <v>212</v>
      </c>
      <c r="D17" s="3" t="s">
        <v>212</v>
      </c>
      <c r="E17" s="3">
        <v>38</v>
      </c>
      <c r="F17" s="3" t="s">
        <v>35</v>
      </c>
      <c r="G17" s="3" t="s">
        <v>24</v>
      </c>
      <c r="H17" s="3"/>
      <c r="I17" s="3"/>
      <c r="J17" s="24"/>
      <c r="K17" s="3" t="s">
        <v>30</v>
      </c>
      <c r="L17" s="3">
        <v>67838612</v>
      </c>
      <c r="M17" s="20">
        <v>200</v>
      </c>
      <c r="O17" s="3"/>
      <c r="P17" s="3">
        <v>1</v>
      </c>
      <c r="Q17" s="3"/>
      <c r="R17" s="3"/>
      <c r="S17" s="3"/>
    </row>
    <row r="18" spans="1:19" ht="25" customHeight="1" x14ac:dyDescent="0.3">
      <c r="A18" s="3"/>
      <c r="B18" s="3" t="s">
        <v>220</v>
      </c>
      <c r="C18" s="3" t="s">
        <v>221</v>
      </c>
      <c r="D18" s="3" t="s">
        <v>222</v>
      </c>
      <c r="E18" s="3">
        <v>54</v>
      </c>
      <c r="F18" s="3" t="s">
        <v>35</v>
      </c>
      <c r="G18" s="3" t="s">
        <v>36</v>
      </c>
      <c r="H18" s="3"/>
      <c r="I18" s="3"/>
      <c r="J18" s="24"/>
      <c r="K18" s="3" t="s">
        <v>25</v>
      </c>
      <c r="L18" s="6">
        <v>815914</v>
      </c>
      <c r="M18" s="20">
        <v>200</v>
      </c>
      <c r="O18" s="3"/>
      <c r="P18" s="3"/>
      <c r="Q18" s="3">
        <v>1</v>
      </c>
      <c r="R18" s="3"/>
      <c r="S18" s="3"/>
    </row>
    <row r="19" spans="1:19" ht="25" customHeight="1" x14ac:dyDescent="0.3">
      <c r="A19" s="3"/>
      <c r="B19" s="3" t="s">
        <v>262</v>
      </c>
      <c r="C19" s="3" t="s">
        <v>263</v>
      </c>
      <c r="D19" s="3" t="s">
        <v>264</v>
      </c>
      <c r="E19" s="3">
        <v>68</v>
      </c>
      <c r="F19" s="3" t="s">
        <v>35</v>
      </c>
      <c r="G19" s="3" t="s">
        <v>24</v>
      </c>
      <c r="H19" s="3"/>
      <c r="I19" s="3"/>
      <c r="J19" s="24"/>
      <c r="K19" s="3" t="s">
        <v>265</v>
      </c>
      <c r="L19" s="3">
        <v>6287</v>
      </c>
      <c r="M19" s="20">
        <v>200</v>
      </c>
      <c r="O19" s="3"/>
      <c r="P19" s="3">
        <v>1</v>
      </c>
      <c r="Q19" s="3"/>
      <c r="R19" s="3"/>
      <c r="S19" s="3"/>
    </row>
    <row r="20" spans="1:19" ht="25" customHeight="1" x14ac:dyDescent="0.3">
      <c r="A20" s="3"/>
      <c r="B20" s="3" t="s">
        <v>319</v>
      </c>
      <c r="C20" s="3" t="s">
        <v>96</v>
      </c>
      <c r="D20" s="3" t="s">
        <v>203</v>
      </c>
      <c r="E20" s="3">
        <v>41</v>
      </c>
      <c r="F20" s="3" t="s">
        <v>35</v>
      </c>
      <c r="G20" s="3" t="s">
        <v>29</v>
      </c>
      <c r="H20" s="3"/>
      <c r="I20" s="3"/>
      <c r="J20" s="24"/>
      <c r="K20" s="3" t="s">
        <v>83</v>
      </c>
      <c r="L20" s="6" t="s">
        <v>320</v>
      </c>
      <c r="M20" s="20">
        <v>200</v>
      </c>
      <c r="O20" s="3">
        <v>1</v>
      </c>
      <c r="P20" s="3"/>
      <c r="Q20" s="3"/>
      <c r="R20" s="3"/>
      <c r="S20" s="3"/>
    </row>
    <row r="21" spans="1:19" ht="25" customHeight="1" x14ac:dyDescent="0.3">
      <c r="A21" s="3"/>
      <c r="B21" s="3" t="s">
        <v>321</v>
      </c>
      <c r="C21" s="3" t="s">
        <v>96</v>
      </c>
      <c r="D21" s="3" t="s">
        <v>203</v>
      </c>
      <c r="E21" s="3">
        <v>41</v>
      </c>
      <c r="F21" s="3" t="s">
        <v>35</v>
      </c>
      <c r="G21" s="3" t="s">
        <v>24</v>
      </c>
      <c r="H21" s="3"/>
      <c r="I21" s="3"/>
      <c r="J21" s="24"/>
      <c r="K21" s="3" t="s">
        <v>83</v>
      </c>
      <c r="L21" s="6" t="s">
        <v>322</v>
      </c>
      <c r="M21" s="20">
        <v>200</v>
      </c>
      <c r="O21" s="3"/>
      <c r="P21" s="3">
        <v>1</v>
      </c>
      <c r="Q21" s="3"/>
      <c r="R21" s="3"/>
      <c r="S21" s="3"/>
    </row>
    <row r="22" spans="1:19" ht="25" customHeight="1" x14ac:dyDescent="0.3">
      <c r="A22" s="3"/>
      <c r="B22" s="3" t="s">
        <v>334</v>
      </c>
      <c r="C22" s="3" t="s">
        <v>212</v>
      </c>
      <c r="D22" s="3" t="s">
        <v>335</v>
      </c>
      <c r="E22" s="3">
        <v>56</v>
      </c>
      <c r="F22" s="3" t="s">
        <v>35</v>
      </c>
      <c r="G22" s="3" t="s">
        <v>24</v>
      </c>
      <c r="H22" s="3"/>
      <c r="I22" s="3"/>
      <c r="J22" s="24"/>
      <c r="K22" s="3" t="s">
        <v>83</v>
      </c>
      <c r="L22" s="6" t="s">
        <v>336</v>
      </c>
      <c r="M22" s="20">
        <v>200</v>
      </c>
      <c r="O22" s="3"/>
      <c r="P22" s="3">
        <v>1</v>
      </c>
      <c r="Q22" s="3"/>
      <c r="R22" s="3"/>
      <c r="S22" s="3"/>
    </row>
    <row r="23" spans="1:19" ht="25" customHeight="1" x14ac:dyDescent="0.3">
      <c r="A23" s="3"/>
      <c r="B23" s="3" t="s">
        <v>337</v>
      </c>
      <c r="C23" s="3" t="s">
        <v>338</v>
      </c>
      <c r="D23" s="3" t="s">
        <v>339</v>
      </c>
      <c r="E23" s="3">
        <v>53</v>
      </c>
      <c r="F23" s="3" t="s">
        <v>35</v>
      </c>
      <c r="G23" s="3" t="s">
        <v>36</v>
      </c>
      <c r="H23" s="3"/>
      <c r="I23" s="3"/>
      <c r="J23" s="24"/>
      <c r="K23" s="3" t="s">
        <v>83</v>
      </c>
      <c r="L23" s="6" t="s">
        <v>340</v>
      </c>
      <c r="M23" s="20">
        <v>200</v>
      </c>
      <c r="O23" s="3"/>
      <c r="P23" s="3"/>
      <c r="Q23" s="3">
        <v>1</v>
      </c>
      <c r="R23" s="3"/>
      <c r="S23" s="3"/>
    </row>
    <row r="24" spans="1:19" ht="25" customHeight="1" x14ac:dyDescent="0.3">
      <c r="A24" s="3"/>
      <c r="B24" s="3" t="s">
        <v>379</v>
      </c>
      <c r="C24" s="3" t="s">
        <v>380</v>
      </c>
      <c r="D24" s="3" t="s">
        <v>228</v>
      </c>
      <c r="E24" s="3">
        <v>58</v>
      </c>
      <c r="F24" s="3" t="s">
        <v>35</v>
      </c>
      <c r="G24" s="3" t="s">
        <v>36</v>
      </c>
      <c r="H24" s="3"/>
      <c r="I24" s="3"/>
      <c r="J24" s="24"/>
      <c r="K24" s="3" t="s">
        <v>30</v>
      </c>
      <c r="L24" s="6">
        <v>46904645</v>
      </c>
      <c r="M24" s="20">
        <v>200</v>
      </c>
      <c r="O24" s="3"/>
      <c r="P24" s="3"/>
      <c r="Q24" s="3">
        <v>1</v>
      </c>
      <c r="R24" s="3"/>
      <c r="S24" s="3"/>
    </row>
    <row r="25" spans="1:19" ht="25" customHeight="1" x14ac:dyDescent="0.3">
      <c r="A25" s="3"/>
      <c r="B25" s="3" t="s">
        <v>414</v>
      </c>
      <c r="C25" s="3" t="s">
        <v>100</v>
      </c>
      <c r="D25" s="3" t="s">
        <v>195</v>
      </c>
      <c r="E25" s="3">
        <v>36</v>
      </c>
      <c r="F25" s="3" t="s">
        <v>35</v>
      </c>
      <c r="G25" s="3" t="s">
        <v>36</v>
      </c>
      <c r="H25" s="3"/>
      <c r="I25" s="3"/>
      <c r="J25" s="24" t="s">
        <v>415</v>
      </c>
      <c r="K25" s="3" t="s">
        <v>30</v>
      </c>
      <c r="L25" s="6">
        <v>59242080</v>
      </c>
      <c r="M25" s="20">
        <v>200</v>
      </c>
      <c r="O25" s="3"/>
      <c r="P25" s="3"/>
      <c r="Q25" s="3">
        <v>1</v>
      </c>
      <c r="R25" s="3"/>
      <c r="S25" s="3"/>
    </row>
    <row r="26" spans="1:19" ht="25" customHeight="1" x14ac:dyDescent="0.3">
      <c r="A26" s="3"/>
      <c r="B26" s="3" t="s">
        <v>428</v>
      </c>
      <c r="C26" s="3" t="s">
        <v>427</v>
      </c>
      <c r="D26" s="3" t="s">
        <v>212</v>
      </c>
      <c r="E26" s="3">
        <v>45</v>
      </c>
      <c r="F26" s="3" t="s">
        <v>35</v>
      </c>
      <c r="G26" s="3" t="s">
        <v>36</v>
      </c>
      <c r="H26" s="3"/>
      <c r="I26" s="3"/>
      <c r="J26" s="24"/>
      <c r="K26" s="3" t="s">
        <v>216</v>
      </c>
      <c r="L26" s="6">
        <v>2895717</v>
      </c>
      <c r="M26" s="20">
        <v>200</v>
      </c>
      <c r="O26" s="3"/>
      <c r="P26" s="3"/>
      <c r="Q26" s="3">
        <v>1</v>
      </c>
      <c r="R26" s="3"/>
      <c r="S26" s="3"/>
    </row>
    <row r="27" spans="1:19" ht="25" customHeight="1" x14ac:dyDescent="0.3">
      <c r="A27" s="3"/>
      <c r="B27" s="38" t="s">
        <v>435</v>
      </c>
      <c r="C27" s="38" t="s">
        <v>436</v>
      </c>
      <c r="D27" s="38" t="s">
        <v>437</v>
      </c>
      <c r="E27" s="3">
        <v>61</v>
      </c>
      <c r="F27" s="3" t="s">
        <v>35</v>
      </c>
      <c r="G27" s="3" t="s">
        <v>24</v>
      </c>
      <c r="H27" s="3"/>
      <c r="I27" s="3"/>
      <c r="J27" s="24" t="s">
        <v>438</v>
      </c>
      <c r="K27" s="3" t="s">
        <v>83</v>
      </c>
      <c r="L27" s="6" t="s">
        <v>439</v>
      </c>
      <c r="M27" s="20">
        <v>200</v>
      </c>
      <c r="O27" s="3"/>
      <c r="P27" s="3">
        <v>1</v>
      </c>
      <c r="Q27" s="3"/>
      <c r="R27" s="3"/>
      <c r="S27" s="3"/>
    </row>
    <row r="28" spans="1:19" ht="25" customHeight="1" x14ac:dyDescent="0.3">
      <c r="A28" s="3"/>
      <c r="B28" s="3" t="s">
        <v>440</v>
      </c>
      <c r="C28" s="3" t="s">
        <v>327</v>
      </c>
      <c r="D28" s="3" t="s">
        <v>441</v>
      </c>
      <c r="E28" s="3">
        <v>56</v>
      </c>
      <c r="F28" s="3" t="s">
        <v>35</v>
      </c>
      <c r="G28" s="3" t="s">
        <v>24</v>
      </c>
      <c r="H28" s="3"/>
      <c r="I28" s="3"/>
      <c r="J28" s="24" t="s">
        <v>442</v>
      </c>
      <c r="K28" s="3" t="s">
        <v>443</v>
      </c>
      <c r="L28" s="6" t="s">
        <v>444</v>
      </c>
      <c r="M28" s="20">
        <v>200</v>
      </c>
      <c r="O28" s="3"/>
      <c r="P28" s="3">
        <v>1</v>
      </c>
      <c r="Q28" s="3"/>
      <c r="R28" s="3"/>
      <c r="S28" s="3"/>
    </row>
    <row r="29" spans="1:19" ht="25" customHeight="1" x14ac:dyDescent="0.3">
      <c r="A29" s="3"/>
      <c r="B29" s="3" t="s">
        <v>465</v>
      </c>
      <c r="C29" s="3" t="s">
        <v>466</v>
      </c>
      <c r="D29" s="3" t="s">
        <v>342</v>
      </c>
      <c r="E29" s="3">
        <v>60</v>
      </c>
      <c r="F29" s="3" t="s">
        <v>35</v>
      </c>
      <c r="G29" s="3" t="s">
        <v>64</v>
      </c>
      <c r="H29" s="3"/>
      <c r="I29" s="3"/>
      <c r="J29" s="24" t="s">
        <v>467</v>
      </c>
      <c r="K29" s="3" t="s">
        <v>30</v>
      </c>
      <c r="L29" s="6">
        <v>42966843</v>
      </c>
      <c r="M29" s="20">
        <v>200</v>
      </c>
      <c r="O29" s="3"/>
      <c r="P29" s="3"/>
      <c r="Q29" s="3"/>
      <c r="R29" s="3">
        <v>1</v>
      </c>
      <c r="S29" s="3"/>
    </row>
    <row r="30" spans="1:19" ht="25" customHeight="1" x14ac:dyDescent="0.3">
      <c r="A30" s="3"/>
      <c r="B30" s="3" t="s">
        <v>480</v>
      </c>
      <c r="C30" s="3"/>
      <c r="D30" s="3"/>
      <c r="E30" s="3">
        <v>36</v>
      </c>
      <c r="F30" s="3" t="s">
        <v>35</v>
      </c>
      <c r="G30" s="3" t="s">
        <v>24</v>
      </c>
      <c r="H30" s="3"/>
      <c r="I30" s="3"/>
      <c r="J30" s="24" t="s">
        <v>481</v>
      </c>
      <c r="K30" s="3"/>
      <c r="L30" s="6"/>
      <c r="M30" s="20"/>
      <c r="O30" s="3"/>
      <c r="P30" s="3">
        <v>1</v>
      </c>
      <c r="Q30" s="3"/>
      <c r="R30" s="3"/>
      <c r="S30" s="3"/>
    </row>
    <row r="31" spans="1:19" ht="25" customHeight="1" x14ac:dyDescent="0.3">
      <c r="A31" s="3"/>
      <c r="B31" s="3" t="s">
        <v>489</v>
      </c>
      <c r="C31" s="3"/>
      <c r="D31" s="3"/>
      <c r="E31" s="3">
        <v>62</v>
      </c>
      <c r="F31" s="3" t="s">
        <v>35</v>
      </c>
      <c r="G31" s="3" t="s">
        <v>36</v>
      </c>
      <c r="H31" s="3"/>
      <c r="I31" s="3"/>
      <c r="J31" s="24" t="s">
        <v>481</v>
      </c>
      <c r="K31" s="3"/>
      <c r="L31" s="6"/>
      <c r="M31" s="20"/>
      <c r="O31" s="3"/>
      <c r="P31" s="3"/>
      <c r="Q31" s="3">
        <v>1</v>
      </c>
      <c r="R31" s="3"/>
      <c r="S31" s="3"/>
    </row>
    <row r="32" spans="1:19" ht="25" customHeight="1" x14ac:dyDescent="0.3">
      <c r="A32" s="3"/>
      <c r="B32" s="3" t="s">
        <v>502</v>
      </c>
      <c r="C32" s="3" t="s">
        <v>503</v>
      </c>
      <c r="D32" s="3" t="s">
        <v>241</v>
      </c>
      <c r="E32" s="3">
        <v>43</v>
      </c>
      <c r="F32" s="3" t="s">
        <v>35</v>
      </c>
      <c r="G32" s="3" t="s">
        <v>24</v>
      </c>
      <c r="H32" s="3"/>
      <c r="I32" s="3"/>
      <c r="J32" s="24" t="s">
        <v>501</v>
      </c>
      <c r="K32" s="3"/>
      <c r="L32" s="6"/>
      <c r="M32" s="20"/>
      <c r="O32" s="3"/>
      <c r="P32" s="3">
        <v>1</v>
      </c>
      <c r="Q32" s="3"/>
      <c r="R32" s="3"/>
      <c r="S32" s="3"/>
    </row>
    <row r="33" spans="1:19" ht="25" customHeight="1" x14ac:dyDescent="0.3">
      <c r="A33" s="3"/>
      <c r="B33" s="3" t="s">
        <v>560</v>
      </c>
      <c r="C33" s="3" t="s">
        <v>558</v>
      </c>
      <c r="D33" s="3" t="s">
        <v>559</v>
      </c>
      <c r="E33" s="3">
        <v>38</v>
      </c>
      <c r="F33" s="3" t="s">
        <v>35</v>
      </c>
      <c r="G33" s="3" t="s">
        <v>64</v>
      </c>
      <c r="H33" s="3"/>
      <c r="I33" s="3"/>
      <c r="J33" s="24" t="s">
        <v>510</v>
      </c>
      <c r="K33" s="3"/>
      <c r="L33" s="6"/>
      <c r="M33" s="20"/>
      <c r="O33" s="3"/>
      <c r="P33" s="3"/>
      <c r="Q33" s="3"/>
      <c r="R33" s="3">
        <v>1</v>
      </c>
      <c r="S33" s="3"/>
    </row>
    <row r="34" spans="1:19" ht="25" customHeight="1" x14ac:dyDescent="0.3">
      <c r="A34" s="3"/>
      <c r="B34" s="3" t="s">
        <v>398</v>
      </c>
      <c r="C34" s="3" t="s">
        <v>511</v>
      </c>
      <c r="D34" s="3" t="s">
        <v>512</v>
      </c>
      <c r="E34" s="3">
        <v>39</v>
      </c>
      <c r="F34" s="3" t="s">
        <v>35</v>
      </c>
      <c r="G34" s="3" t="s">
        <v>24</v>
      </c>
      <c r="H34" s="3"/>
      <c r="I34" s="3"/>
      <c r="J34" s="24" t="s">
        <v>488</v>
      </c>
      <c r="K34" s="3"/>
      <c r="L34" s="6"/>
      <c r="M34" s="20"/>
      <c r="O34" s="3"/>
      <c r="P34" s="3">
        <v>1</v>
      </c>
      <c r="Q34" s="3"/>
      <c r="R34" s="3"/>
      <c r="S34" s="3"/>
    </row>
    <row r="35" spans="1:19" ht="25" customHeight="1" x14ac:dyDescent="0.3">
      <c r="A35" s="3"/>
      <c r="B35" s="3" t="s">
        <v>562</v>
      </c>
      <c r="C35" s="3" t="s">
        <v>222</v>
      </c>
      <c r="D35" s="3" t="s">
        <v>561</v>
      </c>
      <c r="E35" s="3">
        <v>30</v>
      </c>
      <c r="F35" s="3" t="s">
        <v>35</v>
      </c>
      <c r="G35" s="3" t="s">
        <v>36</v>
      </c>
      <c r="H35" s="3"/>
      <c r="I35" s="3"/>
      <c r="J35" s="24" t="s">
        <v>549</v>
      </c>
      <c r="K35" s="3"/>
      <c r="L35" s="6"/>
      <c r="M35" s="20"/>
      <c r="O35" s="3"/>
      <c r="P35" s="3"/>
      <c r="Q35" s="3">
        <v>1</v>
      </c>
      <c r="R35" s="3"/>
      <c r="S35" s="3"/>
    </row>
    <row r="36" spans="1:19" ht="25" customHeight="1" x14ac:dyDescent="0.3">
      <c r="A36" s="3"/>
      <c r="B36" s="3" t="s">
        <v>579</v>
      </c>
      <c r="C36" s="3" t="s">
        <v>458</v>
      </c>
      <c r="D36" s="3" t="s">
        <v>580</v>
      </c>
      <c r="E36" s="3">
        <v>38</v>
      </c>
      <c r="F36" s="3" t="s">
        <v>35</v>
      </c>
      <c r="G36" s="3" t="s">
        <v>24</v>
      </c>
      <c r="H36" s="3"/>
      <c r="I36" s="3"/>
      <c r="J36" s="24" t="s">
        <v>581</v>
      </c>
      <c r="K36" s="3" t="s">
        <v>30</v>
      </c>
      <c r="L36" s="6">
        <v>97807908</v>
      </c>
      <c r="M36" s="20">
        <v>200</v>
      </c>
      <c r="O36" s="3"/>
      <c r="P36" s="3">
        <v>1</v>
      </c>
      <c r="Q36" s="3"/>
      <c r="R36" s="3"/>
      <c r="S36" s="3"/>
    </row>
    <row r="37" spans="1:19" ht="25" customHeight="1" x14ac:dyDescent="0.3">
      <c r="A37" s="3"/>
      <c r="B37" s="3" t="s">
        <v>586</v>
      </c>
      <c r="C37" s="3" t="s">
        <v>464</v>
      </c>
      <c r="D37" s="3" t="s">
        <v>587</v>
      </c>
      <c r="E37" s="3">
        <v>44</v>
      </c>
      <c r="F37" s="3" t="s">
        <v>35</v>
      </c>
      <c r="G37" s="3" t="s">
        <v>24</v>
      </c>
      <c r="H37" s="3"/>
      <c r="I37" s="3"/>
      <c r="J37" s="24" t="s">
        <v>585</v>
      </c>
      <c r="K37" s="3" t="s">
        <v>447</v>
      </c>
      <c r="L37" s="6"/>
      <c r="M37" s="20">
        <v>600</v>
      </c>
      <c r="O37" s="3"/>
      <c r="P37" s="3">
        <v>1</v>
      </c>
      <c r="Q37" s="3"/>
      <c r="R37" s="3"/>
      <c r="S37" s="3"/>
    </row>
    <row r="38" spans="1:19" ht="25" customHeight="1" x14ac:dyDescent="0.3">
      <c r="A38" s="3"/>
      <c r="B38" s="3" t="s">
        <v>607</v>
      </c>
      <c r="C38" s="3" t="s">
        <v>177</v>
      </c>
      <c r="D38" s="3" t="s">
        <v>608</v>
      </c>
      <c r="E38" s="3">
        <v>55</v>
      </c>
      <c r="F38" s="3" t="s">
        <v>35</v>
      </c>
      <c r="G38" s="3" t="s">
        <v>36</v>
      </c>
      <c r="H38" s="3"/>
      <c r="I38" s="3"/>
      <c r="J38" s="24" t="s">
        <v>601</v>
      </c>
      <c r="K38" s="3" t="s">
        <v>447</v>
      </c>
      <c r="L38" s="3" t="s">
        <v>602</v>
      </c>
      <c r="M38" s="20">
        <v>1200</v>
      </c>
      <c r="O38" s="3"/>
      <c r="P38" s="3"/>
      <c r="Q38" s="3">
        <v>1</v>
      </c>
      <c r="R38" s="3"/>
      <c r="S38" s="3"/>
    </row>
    <row r="39" spans="1:19" ht="25" customHeight="1" x14ac:dyDescent="0.3">
      <c r="A39" s="3"/>
      <c r="B39" s="3" t="s">
        <v>729</v>
      </c>
      <c r="C39" s="3" t="s">
        <v>339</v>
      </c>
      <c r="D39" s="3" t="s">
        <v>163</v>
      </c>
      <c r="E39" s="3">
        <v>50</v>
      </c>
      <c r="F39" s="3" t="s">
        <v>35</v>
      </c>
      <c r="G39" s="3" t="s">
        <v>36</v>
      </c>
      <c r="H39" s="3"/>
      <c r="I39" s="3"/>
      <c r="J39" s="3" t="s">
        <v>691</v>
      </c>
      <c r="K39" s="3"/>
      <c r="L39" s="6"/>
      <c r="M39" s="20"/>
      <c r="O39" s="3"/>
      <c r="P39" s="3"/>
      <c r="Q39" s="3">
        <v>1</v>
      </c>
      <c r="R39" s="3"/>
      <c r="S39" s="3"/>
    </row>
    <row r="40" spans="1:19" ht="25" customHeight="1" x14ac:dyDescent="0.3">
      <c r="A40" s="3"/>
      <c r="B40" s="3" t="s">
        <v>362</v>
      </c>
      <c r="C40" s="3" t="s">
        <v>740</v>
      </c>
      <c r="D40" s="3" t="s">
        <v>91</v>
      </c>
      <c r="E40" s="3">
        <v>36</v>
      </c>
      <c r="F40" s="3" t="s">
        <v>35</v>
      </c>
      <c r="G40" s="3" t="s">
        <v>24</v>
      </c>
      <c r="H40" s="3"/>
      <c r="I40" s="3"/>
      <c r="J40" s="3" t="s">
        <v>691</v>
      </c>
      <c r="K40" s="3"/>
      <c r="L40" s="6"/>
      <c r="M40" s="20"/>
      <c r="O40" s="3"/>
      <c r="P40" s="3">
        <v>1</v>
      </c>
      <c r="Q40" s="3"/>
      <c r="R40" s="3"/>
      <c r="S40" s="3"/>
    </row>
    <row r="41" spans="1:19" ht="25" customHeight="1" x14ac:dyDescent="0.3">
      <c r="A41" s="3"/>
      <c r="B41" s="3" t="s">
        <v>741</v>
      </c>
      <c r="C41" s="3" t="s">
        <v>259</v>
      </c>
      <c r="D41" s="3" t="s">
        <v>742</v>
      </c>
      <c r="E41" s="3">
        <v>43</v>
      </c>
      <c r="F41" s="3" t="s">
        <v>35</v>
      </c>
      <c r="G41" s="3" t="s">
        <v>36</v>
      </c>
      <c r="H41" s="3"/>
      <c r="I41" s="3"/>
      <c r="J41" s="3" t="s">
        <v>509</v>
      </c>
      <c r="K41" s="3"/>
      <c r="L41" s="6"/>
      <c r="M41" s="20"/>
      <c r="O41" s="3"/>
      <c r="P41" s="3"/>
      <c r="Q41" s="3">
        <v>1</v>
      </c>
      <c r="R41" s="3"/>
      <c r="S41" s="3"/>
    </row>
    <row r="42" spans="1:19" ht="25" customHeight="1" x14ac:dyDescent="0.3">
      <c r="A42" s="3"/>
      <c r="B42" s="3" t="s">
        <v>167</v>
      </c>
      <c r="C42" s="3" t="s">
        <v>433</v>
      </c>
      <c r="D42" s="3" t="s">
        <v>28</v>
      </c>
      <c r="E42" s="3">
        <v>56</v>
      </c>
      <c r="F42" s="3" t="s">
        <v>35</v>
      </c>
      <c r="G42" s="3" t="s">
        <v>36</v>
      </c>
      <c r="H42" s="3"/>
      <c r="I42" s="3"/>
      <c r="J42" s="3" t="s">
        <v>696</v>
      </c>
      <c r="K42" s="3"/>
      <c r="L42" s="6"/>
      <c r="M42" s="20"/>
      <c r="O42" s="3"/>
      <c r="P42" s="3"/>
      <c r="Q42" s="3">
        <v>1</v>
      </c>
      <c r="R42" s="3"/>
      <c r="S42" s="3"/>
    </row>
    <row r="43" spans="1:19" ht="25" customHeight="1" x14ac:dyDescent="0.3">
      <c r="A43" s="3"/>
      <c r="B43" s="3" t="s">
        <v>977</v>
      </c>
      <c r="C43" s="3" t="s">
        <v>969</v>
      </c>
      <c r="D43" s="3" t="s">
        <v>978</v>
      </c>
      <c r="E43" s="3">
        <v>39</v>
      </c>
      <c r="F43" s="3"/>
      <c r="G43" s="3" t="s">
        <v>24</v>
      </c>
      <c r="H43" s="3"/>
      <c r="I43" s="3"/>
      <c r="J43" s="3" t="s">
        <v>979</v>
      </c>
      <c r="K43" s="3"/>
      <c r="L43" s="6"/>
      <c r="M43" s="20"/>
      <c r="O43" s="3"/>
      <c r="P43" s="3">
        <v>1</v>
      </c>
      <c r="Q43" s="3"/>
      <c r="R43" s="3"/>
      <c r="S43" s="3"/>
    </row>
    <row r="44" spans="1:19" ht="25" customHeight="1" x14ac:dyDescent="0.3">
      <c r="A44" s="3"/>
      <c r="B44" s="3" t="s">
        <v>981</v>
      </c>
      <c r="C44" s="3" t="s">
        <v>982</v>
      </c>
      <c r="D44" s="3" t="s">
        <v>983</v>
      </c>
      <c r="E44" s="3">
        <v>52</v>
      </c>
      <c r="F44" s="3"/>
      <c r="G44" s="3" t="s">
        <v>36</v>
      </c>
      <c r="H44" s="3"/>
      <c r="I44" s="3"/>
      <c r="J44" s="3" t="s">
        <v>979</v>
      </c>
      <c r="K44" s="3"/>
      <c r="L44" s="6"/>
      <c r="M44" s="20"/>
      <c r="O44" s="3"/>
      <c r="P44" s="3"/>
      <c r="Q44" s="3">
        <v>1</v>
      </c>
      <c r="R44" s="3"/>
      <c r="S44" s="3"/>
    </row>
    <row r="45" spans="1:19" ht="25" customHeight="1" x14ac:dyDescent="0.3">
      <c r="A45" s="3"/>
      <c r="B45" s="3" t="s">
        <v>984</v>
      </c>
      <c r="C45" s="3" t="s">
        <v>985</v>
      </c>
      <c r="D45" s="3" t="s">
        <v>986</v>
      </c>
      <c r="E45" s="3">
        <v>41</v>
      </c>
      <c r="F45" s="3"/>
      <c r="G45" s="3" t="s">
        <v>36</v>
      </c>
      <c r="H45" s="3"/>
      <c r="I45" s="3"/>
      <c r="J45" s="3" t="s">
        <v>979</v>
      </c>
      <c r="K45" s="3"/>
      <c r="L45" s="6"/>
      <c r="M45" s="20"/>
      <c r="O45" s="3"/>
      <c r="P45" s="3"/>
      <c r="Q45" s="3">
        <v>1</v>
      </c>
      <c r="R45" s="3"/>
      <c r="S45" s="3"/>
    </row>
    <row r="46" spans="1:19" ht="25" customHeight="1" x14ac:dyDescent="0.3">
      <c r="A46" s="3"/>
      <c r="B46" s="3" t="s">
        <v>997</v>
      </c>
      <c r="C46" s="3" t="s">
        <v>606</v>
      </c>
      <c r="D46" s="3" t="s">
        <v>606</v>
      </c>
      <c r="E46" s="3">
        <v>62</v>
      </c>
      <c r="F46" s="3"/>
      <c r="G46" s="3" t="s">
        <v>36</v>
      </c>
      <c r="H46" s="3"/>
      <c r="I46" s="3"/>
      <c r="J46" s="3" t="s">
        <v>998</v>
      </c>
      <c r="K46" s="3"/>
      <c r="L46" s="6"/>
      <c r="M46" s="20"/>
      <c r="O46" s="3"/>
      <c r="P46" s="3"/>
      <c r="Q46" s="3">
        <v>1</v>
      </c>
      <c r="R46" s="3"/>
      <c r="S46" s="3"/>
    </row>
    <row r="47" spans="1:19" ht="25" customHeight="1" x14ac:dyDescent="0.3">
      <c r="A47" s="3"/>
      <c r="B47" s="3" t="s">
        <v>1004</v>
      </c>
      <c r="C47" s="3" t="s">
        <v>1005</v>
      </c>
      <c r="D47" s="3" t="s">
        <v>243</v>
      </c>
      <c r="E47" s="3">
        <v>54</v>
      </c>
      <c r="F47" s="3"/>
      <c r="G47" s="3" t="s">
        <v>24</v>
      </c>
      <c r="H47" s="3"/>
      <c r="I47" s="3"/>
      <c r="J47" s="3" t="s">
        <v>998</v>
      </c>
      <c r="K47" s="3"/>
      <c r="L47" s="6"/>
      <c r="M47" s="20"/>
      <c r="O47" s="3"/>
      <c r="P47" s="3">
        <v>1</v>
      </c>
      <c r="Q47" s="3"/>
      <c r="R47" s="3"/>
      <c r="S47" s="3"/>
    </row>
    <row r="48" spans="1:19" ht="25" customHeight="1" x14ac:dyDescent="0.3">
      <c r="A48" s="3"/>
      <c r="B48" s="3" t="s">
        <v>1010</v>
      </c>
      <c r="C48" s="3" t="s">
        <v>671</v>
      </c>
      <c r="D48" s="3" t="s">
        <v>1011</v>
      </c>
      <c r="E48" s="3">
        <v>47</v>
      </c>
      <c r="F48" s="3"/>
      <c r="G48" s="3" t="s">
        <v>36</v>
      </c>
      <c r="H48" s="3"/>
      <c r="I48" s="3"/>
      <c r="J48" s="3" t="s">
        <v>998</v>
      </c>
      <c r="K48" s="3"/>
      <c r="L48" s="6"/>
      <c r="M48" s="20"/>
      <c r="O48" s="3"/>
      <c r="P48" s="3"/>
      <c r="Q48" s="3">
        <v>1</v>
      </c>
      <c r="R48" s="3"/>
      <c r="S48" s="3"/>
    </row>
    <row r="49" spans="1:19" ht="25" customHeight="1" x14ac:dyDescent="0.3">
      <c r="A49" s="3"/>
      <c r="B49" s="3" t="s">
        <v>1012</v>
      </c>
      <c r="C49" s="3" t="s">
        <v>357</v>
      </c>
      <c r="D49" s="3" t="s">
        <v>1013</v>
      </c>
      <c r="E49" s="3">
        <v>39</v>
      </c>
      <c r="F49" s="3"/>
      <c r="G49" s="3" t="s">
        <v>36</v>
      </c>
      <c r="H49" s="3"/>
      <c r="I49" s="3"/>
      <c r="J49" s="3" t="s">
        <v>1014</v>
      </c>
      <c r="K49" s="3"/>
      <c r="L49" s="6"/>
      <c r="M49" s="20"/>
      <c r="O49" s="3"/>
      <c r="P49" s="3"/>
      <c r="Q49" s="3">
        <v>1</v>
      </c>
      <c r="R49" s="3"/>
      <c r="S49" s="3"/>
    </row>
    <row r="50" spans="1:19" ht="25" customHeight="1" x14ac:dyDescent="0.3">
      <c r="A50" s="3"/>
      <c r="B50" s="3" t="s">
        <v>644</v>
      </c>
      <c r="C50" s="3" t="s">
        <v>160</v>
      </c>
      <c r="D50" s="3" t="s">
        <v>163</v>
      </c>
      <c r="E50" s="3">
        <v>53</v>
      </c>
      <c r="F50" s="3"/>
      <c r="G50" s="3" t="s">
        <v>36</v>
      </c>
      <c r="H50" s="3"/>
      <c r="I50" s="3"/>
      <c r="J50" s="3" t="s">
        <v>998</v>
      </c>
      <c r="K50" s="3"/>
      <c r="L50" s="6"/>
      <c r="M50" s="20"/>
      <c r="O50" s="3"/>
      <c r="P50" s="3"/>
      <c r="Q50" s="3">
        <v>1</v>
      </c>
      <c r="R50" s="3"/>
      <c r="S50" s="3"/>
    </row>
    <row r="51" spans="1:19" ht="25" customHeight="1" x14ac:dyDescent="0.3">
      <c r="A51" s="3"/>
      <c r="B51" s="3" t="s">
        <v>1044</v>
      </c>
      <c r="C51" s="3" t="s">
        <v>1045</v>
      </c>
      <c r="D51" s="3" t="s">
        <v>1046</v>
      </c>
      <c r="E51" s="3">
        <v>60</v>
      </c>
      <c r="F51" s="3"/>
      <c r="G51" s="3" t="s">
        <v>24</v>
      </c>
      <c r="H51" s="3"/>
      <c r="I51" s="3"/>
      <c r="J51" s="3" t="s">
        <v>998</v>
      </c>
      <c r="K51" s="3"/>
      <c r="L51" s="6"/>
      <c r="M51" s="20"/>
      <c r="O51" s="3"/>
      <c r="P51" s="3">
        <v>1</v>
      </c>
      <c r="Q51" s="3"/>
      <c r="R51" s="3"/>
      <c r="S51" s="3"/>
    </row>
    <row r="52" spans="1:19" ht="25" customHeight="1" x14ac:dyDescent="0.3">
      <c r="A52" s="3"/>
      <c r="B52" s="3" t="s">
        <v>1047</v>
      </c>
      <c r="C52" s="3" t="s">
        <v>727</v>
      </c>
      <c r="D52" s="3" t="s">
        <v>1048</v>
      </c>
      <c r="E52" s="3">
        <v>51</v>
      </c>
      <c r="F52" s="3"/>
      <c r="G52" s="3" t="s">
        <v>36</v>
      </c>
      <c r="H52" s="3"/>
      <c r="I52" s="3"/>
      <c r="J52" s="3" t="s">
        <v>998</v>
      </c>
      <c r="K52" s="3"/>
      <c r="L52" s="6"/>
      <c r="M52" s="20"/>
      <c r="O52" s="3"/>
      <c r="P52" s="3"/>
      <c r="Q52" s="3">
        <v>1</v>
      </c>
      <c r="R52" s="3"/>
      <c r="S52" s="3"/>
    </row>
    <row r="53" spans="1:19" ht="25" customHeight="1" x14ac:dyDescent="0.3">
      <c r="A53" s="3"/>
      <c r="B53" s="3" t="s">
        <v>784</v>
      </c>
      <c r="C53" s="3" t="s">
        <v>722</v>
      </c>
      <c r="D53" s="3" t="s">
        <v>785</v>
      </c>
      <c r="E53" s="3">
        <v>37</v>
      </c>
      <c r="F53" s="3" t="s">
        <v>35</v>
      </c>
      <c r="G53" s="3" t="s">
        <v>24</v>
      </c>
      <c r="H53" s="3"/>
      <c r="I53" s="3"/>
      <c r="J53" s="3" t="s">
        <v>786</v>
      </c>
      <c r="K53" s="3"/>
      <c r="L53" s="6"/>
      <c r="M53" s="20"/>
      <c r="O53" s="3"/>
      <c r="P53" s="3">
        <v>1</v>
      </c>
      <c r="Q53" s="3"/>
      <c r="R53" s="3"/>
      <c r="S53" s="3"/>
    </row>
    <row r="54" spans="1:19" ht="25" customHeight="1" x14ac:dyDescent="0.3">
      <c r="A54" s="3"/>
      <c r="B54" s="3" t="s">
        <v>379</v>
      </c>
      <c r="C54" s="3" t="s">
        <v>822</v>
      </c>
      <c r="D54" s="3" t="s">
        <v>332</v>
      </c>
      <c r="E54" s="3">
        <v>55</v>
      </c>
      <c r="F54" s="3" t="s">
        <v>35</v>
      </c>
      <c r="G54" s="3" t="s">
        <v>24</v>
      </c>
      <c r="H54" s="3"/>
      <c r="I54" s="3"/>
      <c r="J54" s="24" t="s">
        <v>451</v>
      </c>
      <c r="K54" s="3"/>
      <c r="L54" s="6"/>
      <c r="M54" s="20"/>
      <c r="O54" s="3"/>
      <c r="P54" s="3">
        <v>1</v>
      </c>
      <c r="Q54" s="3"/>
      <c r="R54" s="3"/>
      <c r="S54" s="3"/>
    </row>
    <row r="55" spans="1:19" ht="25" customHeight="1" x14ac:dyDescent="0.3">
      <c r="A55" s="3"/>
      <c r="B55" s="3" t="s">
        <v>830</v>
      </c>
      <c r="C55" s="3" t="s">
        <v>214</v>
      </c>
      <c r="D55" s="3" t="s">
        <v>831</v>
      </c>
      <c r="E55" s="3">
        <v>54</v>
      </c>
      <c r="F55" s="3" t="s">
        <v>35</v>
      </c>
      <c r="G55" s="3" t="s">
        <v>36</v>
      </c>
      <c r="H55" s="3"/>
      <c r="I55" s="3"/>
      <c r="J55" s="24" t="s">
        <v>438</v>
      </c>
      <c r="K55" s="3"/>
      <c r="L55" s="6"/>
      <c r="M55" s="20"/>
      <c r="O55" s="3"/>
      <c r="P55" s="3"/>
      <c r="Q55" s="3">
        <v>1</v>
      </c>
      <c r="R55" s="3"/>
      <c r="S55" s="3"/>
    </row>
    <row r="56" spans="1:19" ht="25" customHeight="1" x14ac:dyDescent="0.3">
      <c r="A56" s="3"/>
      <c r="B56" s="3" t="s">
        <v>838</v>
      </c>
      <c r="C56" s="3" t="s">
        <v>839</v>
      </c>
      <c r="D56" s="3" t="s">
        <v>840</v>
      </c>
      <c r="E56" s="3">
        <v>46</v>
      </c>
      <c r="F56" s="3" t="s">
        <v>35</v>
      </c>
      <c r="G56" s="3" t="s">
        <v>36</v>
      </c>
      <c r="H56" s="3"/>
      <c r="I56" s="3"/>
      <c r="J56" s="24" t="s">
        <v>841</v>
      </c>
      <c r="K56" s="3"/>
      <c r="L56" s="6"/>
      <c r="M56" s="20"/>
      <c r="O56" s="3"/>
      <c r="P56" s="3"/>
      <c r="Q56" s="3">
        <v>1</v>
      </c>
      <c r="R56" s="3"/>
      <c r="S56" s="3"/>
    </row>
    <row r="57" spans="1:19" ht="25" customHeight="1" x14ac:dyDescent="0.3">
      <c r="A57" s="3"/>
      <c r="B57" s="3" t="s">
        <v>562</v>
      </c>
      <c r="C57" s="3" t="s">
        <v>861</v>
      </c>
      <c r="D57" s="3" t="s">
        <v>28</v>
      </c>
      <c r="E57" s="3">
        <v>36</v>
      </c>
      <c r="F57" s="3" t="s">
        <v>35</v>
      </c>
      <c r="G57" s="3" t="s">
        <v>29</v>
      </c>
      <c r="H57" s="3"/>
      <c r="I57" s="3"/>
      <c r="J57" s="24" t="s">
        <v>438</v>
      </c>
      <c r="K57" s="3"/>
      <c r="L57" s="6"/>
      <c r="M57" s="20"/>
      <c r="O57" s="3">
        <v>1</v>
      </c>
      <c r="P57" s="3"/>
      <c r="Q57" s="3"/>
      <c r="R57" s="3"/>
      <c r="S57" s="3"/>
    </row>
    <row r="58" spans="1:19" ht="25" customHeight="1" x14ac:dyDescent="0.3">
      <c r="A58" s="3"/>
      <c r="B58" s="3" t="s">
        <v>338</v>
      </c>
      <c r="C58" s="3" t="s">
        <v>177</v>
      </c>
      <c r="D58" s="3" t="s">
        <v>342</v>
      </c>
      <c r="E58" s="3">
        <v>58</v>
      </c>
      <c r="F58" s="3" t="s">
        <v>35</v>
      </c>
      <c r="G58" s="3" t="s">
        <v>24</v>
      </c>
      <c r="H58" s="3"/>
      <c r="I58" s="3"/>
      <c r="J58" s="24" t="s">
        <v>869</v>
      </c>
      <c r="K58" s="3"/>
      <c r="L58" s="6"/>
      <c r="M58" s="20"/>
      <c r="O58" s="3"/>
      <c r="P58" s="3">
        <v>1</v>
      </c>
      <c r="Q58" s="3"/>
      <c r="R58" s="3"/>
      <c r="S58" s="3"/>
    </row>
    <row r="59" spans="1:19" ht="25" customHeight="1" x14ac:dyDescent="0.3">
      <c r="A59" s="3"/>
      <c r="B59" s="3" t="s">
        <v>930</v>
      </c>
      <c r="C59" s="3" t="s">
        <v>931</v>
      </c>
      <c r="D59" s="3" t="s">
        <v>132</v>
      </c>
      <c r="E59" s="3">
        <v>36</v>
      </c>
      <c r="F59" s="3" t="s">
        <v>35</v>
      </c>
      <c r="G59" s="3" t="s">
        <v>36</v>
      </c>
      <c r="H59" s="3"/>
      <c r="I59" s="3"/>
      <c r="J59" s="24" t="s">
        <v>438</v>
      </c>
      <c r="K59" s="3"/>
      <c r="L59" s="6"/>
      <c r="M59" s="20"/>
      <c r="O59" s="3"/>
      <c r="P59" s="3"/>
      <c r="Q59" s="3">
        <v>1</v>
      </c>
      <c r="R59" s="3"/>
      <c r="S59" s="3"/>
    </row>
    <row r="60" spans="1:19" ht="25" customHeight="1" x14ac:dyDescent="0.3">
      <c r="A60" s="3"/>
      <c r="B60" s="3" t="s">
        <v>955</v>
      </c>
      <c r="C60" s="3" t="s">
        <v>342</v>
      </c>
      <c r="D60" s="3" t="s">
        <v>200</v>
      </c>
      <c r="E60" s="3">
        <v>38</v>
      </c>
      <c r="F60" s="3" t="s">
        <v>35</v>
      </c>
      <c r="G60" s="3" t="s">
        <v>29</v>
      </c>
      <c r="H60" s="3"/>
      <c r="I60" s="3"/>
      <c r="J60" s="24" t="s">
        <v>944</v>
      </c>
      <c r="K60" s="3"/>
      <c r="L60" s="6"/>
      <c r="M60" s="20"/>
      <c r="O60" s="3">
        <v>1</v>
      </c>
      <c r="P60" s="3"/>
      <c r="Q60" s="3"/>
      <c r="R60" s="3"/>
      <c r="S60" s="3"/>
    </row>
    <row r="61" spans="1:19" ht="25" customHeight="1" x14ac:dyDescent="0.3">
      <c r="A61" s="3"/>
      <c r="B61" s="3" t="s">
        <v>960</v>
      </c>
      <c r="C61" s="3" t="s">
        <v>306</v>
      </c>
      <c r="D61" s="3" t="s">
        <v>349</v>
      </c>
      <c r="E61" s="3">
        <v>57</v>
      </c>
      <c r="F61" s="3" t="s">
        <v>35</v>
      </c>
      <c r="G61" s="3" t="s">
        <v>36</v>
      </c>
      <c r="H61" s="3"/>
      <c r="I61" s="3"/>
      <c r="J61" s="24" t="s">
        <v>406</v>
      </c>
      <c r="K61" s="3"/>
      <c r="L61" s="6"/>
      <c r="M61" s="20"/>
      <c r="O61" s="3"/>
      <c r="P61" s="3"/>
      <c r="Q61" s="3">
        <v>1</v>
      </c>
      <c r="R61" s="3"/>
      <c r="S61" s="3"/>
    </row>
    <row r="62" spans="1:19" ht="25" customHeight="1" x14ac:dyDescent="0.3">
      <c r="A62" s="3"/>
      <c r="B62" s="3" t="s">
        <v>961</v>
      </c>
      <c r="C62" s="3" t="s">
        <v>200</v>
      </c>
      <c r="D62" s="3" t="s">
        <v>962</v>
      </c>
      <c r="E62" s="3">
        <v>39</v>
      </c>
      <c r="F62" s="3" t="s">
        <v>35</v>
      </c>
      <c r="G62" s="3" t="s">
        <v>36</v>
      </c>
      <c r="H62" s="3"/>
      <c r="I62" s="3"/>
      <c r="J62" s="24" t="s">
        <v>438</v>
      </c>
      <c r="K62" s="3"/>
      <c r="L62" s="6"/>
      <c r="M62" s="20"/>
      <c r="O62" s="3"/>
      <c r="P62" s="3"/>
      <c r="Q62" s="3">
        <v>1</v>
      </c>
      <c r="R62" s="3"/>
      <c r="S62" s="3"/>
    </row>
    <row r="63" spans="1:19" ht="25" customHeight="1" x14ac:dyDescent="0.3">
      <c r="A63" s="3"/>
      <c r="B63" s="3" t="s">
        <v>1070</v>
      </c>
      <c r="C63" s="3" t="s">
        <v>931</v>
      </c>
      <c r="D63" s="3" t="s">
        <v>132</v>
      </c>
      <c r="E63" s="3">
        <v>36</v>
      </c>
      <c r="F63" s="3"/>
      <c r="G63" s="3" t="s">
        <v>36</v>
      </c>
      <c r="H63" s="3"/>
      <c r="I63" s="3"/>
      <c r="J63" s="24" t="s">
        <v>438</v>
      </c>
      <c r="K63" s="3"/>
      <c r="L63" s="6"/>
      <c r="M63" s="20"/>
      <c r="O63" s="3"/>
      <c r="P63" s="3"/>
      <c r="Q63" s="3">
        <v>1</v>
      </c>
      <c r="R63" s="3"/>
      <c r="S63" s="3"/>
    </row>
    <row r="64" spans="1:19" ht="25" customHeight="1" x14ac:dyDescent="0.3">
      <c r="A64" s="3"/>
      <c r="B64" s="3" t="s">
        <v>1090</v>
      </c>
      <c r="C64" s="3" t="s">
        <v>1091</v>
      </c>
      <c r="D64" s="3" t="s">
        <v>1092</v>
      </c>
      <c r="E64" s="3">
        <v>38</v>
      </c>
      <c r="F64" s="3"/>
      <c r="G64" s="3" t="s">
        <v>29</v>
      </c>
      <c r="H64" s="3"/>
      <c r="I64" s="3"/>
      <c r="J64" s="24" t="s">
        <v>1093</v>
      </c>
      <c r="K64" s="3"/>
      <c r="L64" s="6"/>
      <c r="M64" s="20"/>
      <c r="O64" s="3">
        <v>1</v>
      </c>
      <c r="P64" s="3"/>
      <c r="Q64" s="3"/>
      <c r="R64" s="3"/>
      <c r="S64" s="3"/>
    </row>
    <row r="65" spans="1:19" ht="25" customHeight="1" x14ac:dyDescent="0.3">
      <c r="A65" s="3"/>
      <c r="B65" s="3" t="s">
        <v>1094</v>
      </c>
      <c r="C65" s="3" t="s">
        <v>1095</v>
      </c>
      <c r="D65" s="3" t="s">
        <v>957</v>
      </c>
      <c r="E65" s="3">
        <v>41</v>
      </c>
      <c r="F65" s="3"/>
      <c r="G65" s="3" t="s">
        <v>36</v>
      </c>
      <c r="H65" s="3"/>
      <c r="I65" s="3"/>
      <c r="J65" s="24" t="s">
        <v>438</v>
      </c>
      <c r="K65" s="3"/>
      <c r="L65" s="6"/>
      <c r="M65" s="20"/>
      <c r="O65" s="3"/>
      <c r="P65" s="3"/>
      <c r="Q65" s="3">
        <v>1</v>
      </c>
      <c r="R65" s="3"/>
      <c r="S65" s="3"/>
    </row>
    <row r="66" spans="1:19" ht="25" customHeight="1" x14ac:dyDescent="0.3">
      <c r="A66" s="3"/>
      <c r="B66" s="3" t="s">
        <v>1099</v>
      </c>
      <c r="C66" s="3" t="s">
        <v>558</v>
      </c>
      <c r="D66" s="3" t="s">
        <v>349</v>
      </c>
      <c r="E66" s="3">
        <v>57</v>
      </c>
      <c r="F66" s="3"/>
      <c r="G66" s="3" t="s">
        <v>36</v>
      </c>
      <c r="H66" s="3"/>
      <c r="I66" s="3"/>
      <c r="J66" s="24"/>
      <c r="K66" s="3"/>
      <c r="L66" s="6"/>
      <c r="M66" s="20"/>
      <c r="O66" s="3"/>
      <c r="P66" s="3"/>
      <c r="Q66" s="3">
        <v>1</v>
      </c>
      <c r="R66" s="3"/>
      <c r="S66" s="3"/>
    </row>
    <row r="67" spans="1:19" ht="25" customHeight="1" x14ac:dyDescent="0.3">
      <c r="A67" s="3"/>
      <c r="B67" s="3" t="s">
        <v>513</v>
      </c>
      <c r="C67" s="3" t="s">
        <v>203</v>
      </c>
      <c r="D67" s="3" t="s">
        <v>859</v>
      </c>
      <c r="E67" s="3">
        <v>54</v>
      </c>
      <c r="F67" s="3"/>
      <c r="G67" s="3" t="s">
        <v>36</v>
      </c>
      <c r="H67" s="3"/>
      <c r="I67" s="3"/>
      <c r="J67" s="24" t="s">
        <v>438</v>
      </c>
      <c r="K67" s="3"/>
      <c r="L67" s="6"/>
      <c r="M67" s="20"/>
      <c r="O67" s="3"/>
      <c r="P67" s="3"/>
      <c r="Q67" s="3">
        <v>1</v>
      </c>
      <c r="R67" s="3"/>
      <c r="S67" s="3"/>
    </row>
    <row r="68" spans="1:19" ht="25" customHeight="1" x14ac:dyDescent="0.3">
      <c r="A68" s="3"/>
      <c r="B68" s="3" t="s">
        <v>1100</v>
      </c>
      <c r="C68" s="3" t="s">
        <v>137</v>
      </c>
      <c r="D68" s="3" t="s">
        <v>962</v>
      </c>
      <c r="E68" s="3">
        <v>39</v>
      </c>
      <c r="F68" s="3"/>
      <c r="G68" s="3" t="s">
        <v>36</v>
      </c>
      <c r="H68" s="3"/>
      <c r="I68" s="3"/>
      <c r="J68" s="24" t="s">
        <v>438</v>
      </c>
      <c r="K68" s="3"/>
      <c r="L68" s="6"/>
      <c r="M68" s="20"/>
      <c r="O68" s="3"/>
      <c r="P68" s="3"/>
      <c r="Q68" s="3">
        <v>1</v>
      </c>
      <c r="R68" s="3"/>
      <c r="S68" s="3"/>
    </row>
    <row r="69" spans="1:19" ht="25" customHeight="1" x14ac:dyDescent="0.3">
      <c r="A69" s="3"/>
      <c r="B69" s="3" t="s">
        <v>1099</v>
      </c>
      <c r="C69" s="3" t="s">
        <v>558</v>
      </c>
      <c r="D69" s="3" t="s">
        <v>349</v>
      </c>
      <c r="E69" s="3">
        <v>57</v>
      </c>
      <c r="F69" s="3"/>
      <c r="G69" s="3" t="s">
        <v>36</v>
      </c>
      <c r="H69" s="3"/>
      <c r="I69" s="3"/>
      <c r="J69" s="24" t="s">
        <v>406</v>
      </c>
      <c r="K69" s="3"/>
      <c r="L69" s="6"/>
      <c r="M69" s="20"/>
      <c r="O69" s="3"/>
      <c r="P69" s="3"/>
      <c r="Q69" s="3">
        <v>1</v>
      </c>
      <c r="R69" s="3"/>
      <c r="S69" s="3"/>
    </row>
    <row r="70" spans="1:19" ht="25" customHeight="1" x14ac:dyDescent="0.3">
      <c r="A70" s="3"/>
      <c r="B70" s="3" t="s">
        <v>147</v>
      </c>
      <c r="C70" s="3" t="s">
        <v>143</v>
      </c>
      <c r="D70" s="3" t="s">
        <v>1115</v>
      </c>
      <c r="E70" s="3">
        <v>51</v>
      </c>
      <c r="F70" s="3"/>
      <c r="G70" s="3" t="s">
        <v>36</v>
      </c>
      <c r="H70" s="3"/>
      <c r="I70" s="3"/>
      <c r="J70" s="24" t="s">
        <v>1116</v>
      </c>
      <c r="K70" s="3"/>
      <c r="L70" s="6"/>
      <c r="M70" s="20"/>
      <c r="O70" s="3"/>
      <c r="P70" s="3"/>
      <c r="Q70" s="3">
        <v>1</v>
      </c>
      <c r="R70" s="3"/>
      <c r="S70" s="3"/>
    </row>
    <row r="71" spans="1:19" ht="25" customHeight="1" x14ac:dyDescent="0.3">
      <c r="A71" s="3"/>
      <c r="B71" s="3" t="s">
        <v>1135</v>
      </c>
      <c r="C71" s="3" t="s">
        <v>1136</v>
      </c>
      <c r="D71" s="3" t="s">
        <v>1137</v>
      </c>
      <c r="E71" s="3">
        <v>49</v>
      </c>
      <c r="F71" s="3"/>
      <c r="G71" s="3" t="s">
        <v>36</v>
      </c>
      <c r="H71" s="3"/>
      <c r="I71" s="3"/>
      <c r="J71" s="24" t="s">
        <v>1138</v>
      </c>
      <c r="K71" s="3"/>
      <c r="L71" s="6"/>
      <c r="M71" s="20"/>
      <c r="O71" s="3"/>
      <c r="P71" s="3"/>
      <c r="Q71" s="3">
        <v>1</v>
      </c>
      <c r="R71" s="3"/>
      <c r="S71" s="3"/>
    </row>
    <row r="72" spans="1:19" ht="25" customHeight="1" x14ac:dyDescent="0.3">
      <c r="A72" s="3"/>
      <c r="B72" s="3" t="s">
        <v>1238</v>
      </c>
      <c r="C72" s="3" t="s">
        <v>1239</v>
      </c>
      <c r="D72" s="3" t="s">
        <v>1240</v>
      </c>
      <c r="E72" s="3">
        <v>54</v>
      </c>
      <c r="F72" s="3" t="s">
        <v>35</v>
      </c>
      <c r="G72" s="3" t="s">
        <v>65</v>
      </c>
      <c r="H72" s="3"/>
      <c r="I72" s="3"/>
      <c r="J72" s="25" t="s">
        <v>1196</v>
      </c>
      <c r="K72" s="3"/>
      <c r="L72" s="6"/>
      <c r="M72" s="20"/>
      <c r="O72" s="3"/>
      <c r="P72" s="3"/>
      <c r="Q72" s="3"/>
      <c r="R72" s="3"/>
      <c r="S72" s="3">
        <v>1</v>
      </c>
    </row>
    <row r="73" spans="1:19" ht="25" customHeight="1" x14ac:dyDescent="0.3">
      <c r="A73" s="3"/>
      <c r="B73" s="3" t="s">
        <v>1241</v>
      </c>
      <c r="C73" s="3" t="s">
        <v>859</v>
      </c>
      <c r="D73" s="3" t="s">
        <v>522</v>
      </c>
      <c r="E73" s="3">
        <v>38</v>
      </c>
      <c r="F73" s="3" t="s">
        <v>35</v>
      </c>
      <c r="G73" s="3" t="s">
        <v>24</v>
      </c>
      <c r="H73" s="3"/>
      <c r="I73" s="3"/>
      <c r="J73" s="25" t="s">
        <v>1196</v>
      </c>
      <c r="K73" s="3"/>
      <c r="L73" s="6"/>
      <c r="M73" s="20"/>
      <c r="O73" s="3"/>
      <c r="P73" s="3">
        <v>1</v>
      </c>
      <c r="Q73" s="3"/>
      <c r="R73" s="3"/>
      <c r="S73" s="3"/>
    </row>
    <row r="74" spans="1:19" ht="25" customHeight="1" x14ac:dyDescent="0.3">
      <c r="A74" s="3"/>
      <c r="B74" s="3" t="s">
        <v>1242</v>
      </c>
      <c r="C74" s="3" t="s">
        <v>1243</v>
      </c>
      <c r="D74" s="3" t="s">
        <v>1244</v>
      </c>
      <c r="E74" s="3">
        <v>38</v>
      </c>
      <c r="F74" s="3" t="s">
        <v>35</v>
      </c>
      <c r="G74" s="3" t="s">
        <v>24</v>
      </c>
      <c r="H74" s="3"/>
      <c r="I74" s="3"/>
      <c r="J74" s="25" t="s">
        <v>1196</v>
      </c>
      <c r="K74" s="3"/>
      <c r="L74" s="6"/>
      <c r="M74" s="20"/>
      <c r="O74" s="3"/>
      <c r="P74" s="3">
        <v>1</v>
      </c>
      <c r="Q74" s="3"/>
      <c r="R74" s="3"/>
      <c r="S74" s="3"/>
    </row>
    <row r="75" spans="1:19" ht="25" customHeight="1" x14ac:dyDescent="0.3">
      <c r="A75" s="3"/>
      <c r="B75" s="3" t="s">
        <v>1245</v>
      </c>
      <c r="C75" s="3" t="s">
        <v>1246</v>
      </c>
      <c r="D75" s="3" t="s">
        <v>34</v>
      </c>
      <c r="E75" s="3">
        <v>46</v>
      </c>
      <c r="F75" s="3" t="s">
        <v>35</v>
      </c>
      <c r="G75" s="3" t="s">
        <v>24</v>
      </c>
      <c r="H75" s="3"/>
      <c r="I75" s="3"/>
      <c r="J75" s="25" t="s">
        <v>1196</v>
      </c>
      <c r="K75" s="3"/>
      <c r="L75" s="6"/>
      <c r="M75" s="20"/>
      <c r="O75" s="3"/>
      <c r="P75" s="3">
        <v>1</v>
      </c>
      <c r="Q75" s="3"/>
      <c r="R75" s="3"/>
      <c r="S75" s="3"/>
    </row>
    <row r="76" spans="1:19" ht="25" customHeight="1" x14ac:dyDescent="0.3">
      <c r="A76" s="3"/>
      <c r="B76" s="3" t="s">
        <v>1247</v>
      </c>
      <c r="C76" s="3" t="s">
        <v>1248</v>
      </c>
      <c r="D76" s="3" t="s">
        <v>339</v>
      </c>
      <c r="E76" s="3">
        <v>40</v>
      </c>
      <c r="F76" s="3" t="s">
        <v>35</v>
      </c>
      <c r="G76" s="3" t="s">
        <v>36</v>
      </c>
      <c r="H76" s="3"/>
      <c r="I76" s="3"/>
      <c r="J76" s="25" t="s">
        <v>1196</v>
      </c>
      <c r="K76" s="3"/>
      <c r="L76" s="6"/>
      <c r="M76" s="20"/>
      <c r="O76" s="3"/>
      <c r="P76" s="3"/>
      <c r="Q76" s="3">
        <v>1</v>
      </c>
      <c r="R76" s="3"/>
      <c r="S76" s="3"/>
    </row>
    <row r="77" spans="1:19" ht="25" customHeight="1" x14ac:dyDescent="0.3">
      <c r="A77" s="3"/>
      <c r="B77" s="3" t="s">
        <v>1249</v>
      </c>
      <c r="C77" s="3" t="s">
        <v>958</v>
      </c>
      <c r="D77" s="3" t="s">
        <v>157</v>
      </c>
      <c r="E77" s="3">
        <v>38</v>
      </c>
      <c r="F77" s="3" t="s">
        <v>35</v>
      </c>
      <c r="G77" s="3" t="s">
        <v>24</v>
      </c>
      <c r="H77" s="3"/>
      <c r="I77" s="3"/>
      <c r="J77" s="25" t="s">
        <v>1196</v>
      </c>
      <c r="K77" s="3"/>
      <c r="L77" s="6"/>
      <c r="M77" s="20"/>
      <c r="O77" s="3"/>
      <c r="P77" s="3">
        <v>1</v>
      </c>
      <c r="Q77" s="3"/>
      <c r="R77" s="3"/>
      <c r="S77" s="3"/>
    </row>
    <row r="78" spans="1:19" ht="25" customHeight="1" x14ac:dyDescent="0.3">
      <c r="A78" s="3"/>
      <c r="B78" s="3" t="s">
        <v>1250</v>
      </c>
      <c r="C78" s="3" t="s">
        <v>1251</v>
      </c>
      <c r="D78" s="3" t="s">
        <v>634</v>
      </c>
      <c r="E78" s="3">
        <v>40</v>
      </c>
      <c r="F78" s="3" t="s">
        <v>35</v>
      </c>
      <c r="G78" s="3" t="s">
        <v>24</v>
      </c>
      <c r="H78" s="3"/>
      <c r="I78" s="3"/>
      <c r="J78" s="25" t="s">
        <v>1196</v>
      </c>
      <c r="K78" s="3"/>
      <c r="L78" s="6"/>
      <c r="M78" s="20"/>
      <c r="O78" s="3"/>
      <c r="P78" s="3">
        <v>1</v>
      </c>
      <c r="Q78" s="3"/>
      <c r="R78" s="3"/>
      <c r="S78" s="3"/>
    </row>
    <row r="79" spans="1:19" ht="25" customHeight="1" x14ac:dyDescent="0.3">
      <c r="A79" s="3"/>
      <c r="B79" s="3" t="s">
        <v>1233</v>
      </c>
      <c r="C79" s="3" t="s">
        <v>339</v>
      </c>
      <c r="D79" s="3" t="s">
        <v>143</v>
      </c>
      <c r="E79" s="3">
        <v>38</v>
      </c>
      <c r="F79" s="3" t="s">
        <v>35</v>
      </c>
      <c r="G79" s="3" t="s">
        <v>24</v>
      </c>
      <c r="H79" s="3"/>
      <c r="I79" s="3"/>
      <c r="J79" s="25" t="s">
        <v>1196</v>
      </c>
      <c r="K79" s="3"/>
      <c r="L79" s="6"/>
      <c r="M79" s="20"/>
      <c r="O79" s="3"/>
      <c r="P79" s="3">
        <v>1</v>
      </c>
      <c r="Q79" s="3"/>
      <c r="R79" s="3"/>
      <c r="S79" s="3"/>
    </row>
    <row r="80" spans="1:19" ht="25" customHeight="1" x14ac:dyDescent="0.3">
      <c r="A80" s="3"/>
      <c r="B80" s="3" t="s">
        <v>1252</v>
      </c>
      <c r="C80" s="3" t="s">
        <v>1253</v>
      </c>
      <c r="D80" s="3" t="s">
        <v>595</v>
      </c>
      <c r="E80" s="3">
        <v>38</v>
      </c>
      <c r="F80" s="3" t="s">
        <v>35</v>
      </c>
      <c r="G80" s="3" t="s">
        <v>65</v>
      </c>
      <c r="H80" s="3"/>
      <c r="I80" s="3"/>
      <c r="J80" s="25" t="s">
        <v>1196</v>
      </c>
      <c r="K80" s="3"/>
      <c r="L80" s="6"/>
      <c r="M80" s="20"/>
      <c r="O80" s="3"/>
      <c r="P80" s="3"/>
      <c r="Q80" s="3"/>
      <c r="R80" s="3"/>
      <c r="S80" s="3">
        <v>1</v>
      </c>
    </row>
    <row r="81" spans="1:19" ht="25" customHeight="1" x14ac:dyDescent="0.3">
      <c r="A81" s="3"/>
      <c r="B81" s="3" t="s">
        <v>1254</v>
      </c>
      <c r="C81" s="3" t="s">
        <v>1095</v>
      </c>
      <c r="D81" s="3" t="s">
        <v>722</v>
      </c>
      <c r="E81" s="3">
        <v>39</v>
      </c>
      <c r="F81" s="3" t="s">
        <v>35</v>
      </c>
      <c r="G81" s="3" t="s">
        <v>65</v>
      </c>
      <c r="H81" s="3"/>
      <c r="I81" s="3"/>
      <c r="J81" s="25" t="s">
        <v>1196</v>
      </c>
      <c r="K81" s="3"/>
      <c r="L81" s="6"/>
      <c r="M81" s="20"/>
      <c r="O81" s="3"/>
      <c r="P81" s="3"/>
      <c r="Q81" s="3"/>
      <c r="R81" s="3"/>
      <c r="S81" s="3">
        <v>1</v>
      </c>
    </row>
    <row r="82" spans="1:19" ht="25" customHeight="1" x14ac:dyDescent="0.3">
      <c r="A82" s="3"/>
      <c r="B82" s="3" t="s">
        <v>1255</v>
      </c>
      <c r="C82" s="3" t="s">
        <v>1184</v>
      </c>
      <c r="D82" s="3" t="s">
        <v>203</v>
      </c>
      <c r="E82" s="3">
        <v>36</v>
      </c>
      <c r="F82" s="3" t="s">
        <v>35</v>
      </c>
      <c r="G82" s="3" t="s">
        <v>24</v>
      </c>
      <c r="H82" s="3"/>
      <c r="I82" s="3"/>
      <c r="J82" s="25" t="s">
        <v>1196</v>
      </c>
      <c r="K82" s="3"/>
      <c r="L82" s="6"/>
      <c r="M82" s="20"/>
      <c r="O82" s="3"/>
      <c r="P82" s="3">
        <v>1</v>
      </c>
      <c r="Q82" s="3"/>
      <c r="R82" s="3"/>
      <c r="S82" s="3"/>
    </row>
    <row r="83" spans="1:19" ht="25" customHeight="1" x14ac:dyDescent="0.3">
      <c r="A83" s="3"/>
      <c r="B83" s="3" t="s">
        <v>1256</v>
      </c>
      <c r="C83" s="3" t="s">
        <v>1257</v>
      </c>
      <c r="D83" s="3" t="s">
        <v>1258</v>
      </c>
      <c r="E83" s="3">
        <v>36</v>
      </c>
      <c r="F83" s="3" t="s">
        <v>35</v>
      </c>
      <c r="G83" s="3" t="s">
        <v>29</v>
      </c>
      <c r="H83" s="3"/>
      <c r="I83" s="3"/>
      <c r="J83" s="25" t="s">
        <v>1196</v>
      </c>
      <c r="K83" s="3"/>
      <c r="L83" s="6"/>
      <c r="M83" s="20"/>
      <c r="O83" s="3">
        <v>1</v>
      </c>
      <c r="P83" s="3"/>
      <c r="Q83" s="3"/>
      <c r="R83" s="3"/>
      <c r="S83" s="3"/>
    </row>
    <row r="84" spans="1:19" ht="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25"/>
      <c r="K84" s="3"/>
      <c r="L84" s="6"/>
      <c r="M84" s="20"/>
      <c r="O84" s="3"/>
      <c r="P84" s="3"/>
      <c r="Q84" s="3"/>
      <c r="R84" s="3"/>
      <c r="S84" s="3"/>
    </row>
    <row r="85" spans="1:19" ht="25" customHeight="1" x14ac:dyDescent="0.3">
      <c r="A85" s="3"/>
      <c r="B85" s="3" t="s">
        <v>1426</v>
      </c>
      <c r="C85" s="3" t="s">
        <v>339</v>
      </c>
      <c r="D85" s="3" t="s">
        <v>1427</v>
      </c>
      <c r="E85" s="3">
        <v>38</v>
      </c>
      <c r="F85" s="3" t="s">
        <v>35</v>
      </c>
      <c r="G85" s="3" t="s">
        <v>36</v>
      </c>
      <c r="H85" s="3"/>
      <c r="I85" s="3"/>
      <c r="J85" s="24" t="s">
        <v>1437</v>
      </c>
      <c r="K85" s="3"/>
      <c r="L85" s="6"/>
      <c r="M85" s="20"/>
      <c r="O85" s="3"/>
      <c r="P85" s="3"/>
      <c r="Q85" s="3">
        <v>1</v>
      </c>
      <c r="R85" s="3"/>
      <c r="S85" s="3"/>
    </row>
    <row r="86" spans="1:19" ht="25" customHeight="1" x14ac:dyDescent="0.3">
      <c r="A86" s="3"/>
      <c r="B86" s="3" t="s">
        <v>1234</v>
      </c>
      <c r="C86" s="3" t="s">
        <v>111</v>
      </c>
      <c r="D86" s="3" t="s">
        <v>156</v>
      </c>
      <c r="E86" s="3">
        <v>43</v>
      </c>
      <c r="F86" s="3" t="s">
        <v>35</v>
      </c>
      <c r="G86" s="3" t="s">
        <v>36</v>
      </c>
      <c r="H86" s="3"/>
      <c r="I86" s="3"/>
      <c r="J86" s="24" t="s">
        <v>1438</v>
      </c>
      <c r="K86" s="3"/>
      <c r="L86" s="6"/>
      <c r="M86" s="20"/>
      <c r="O86" s="3"/>
      <c r="P86" s="3"/>
      <c r="Q86" s="3">
        <v>1</v>
      </c>
      <c r="R86" s="3"/>
      <c r="S86" s="3"/>
    </row>
    <row r="87" spans="1:19" ht="25" customHeight="1" x14ac:dyDescent="0.3">
      <c r="A87" s="3"/>
      <c r="B87" s="3" t="s">
        <v>819</v>
      </c>
      <c r="C87" s="3" t="s">
        <v>203</v>
      </c>
      <c r="D87" s="3" t="s">
        <v>464</v>
      </c>
      <c r="E87" s="3">
        <v>45</v>
      </c>
      <c r="F87" s="3" t="s">
        <v>35</v>
      </c>
      <c r="G87" s="3" t="s">
        <v>36</v>
      </c>
      <c r="H87" s="3"/>
      <c r="I87" s="3"/>
      <c r="J87" s="24" t="s">
        <v>1349</v>
      </c>
      <c r="K87" s="3"/>
      <c r="L87" s="6"/>
      <c r="M87" s="20"/>
      <c r="O87" s="3"/>
      <c r="P87" s="3"/>
      <c r="Q87" s="3">
        <v>1</v>
      </c>
      <c r="R87" s="3"/>
      <c r="S87" s="3"/>
    </row>
    <row r="88" spans="1:19" ht="25" customHeight="1" x14ac:dyDescent="0.3">
      <c r="A88" s="3"/>
      <c r="B88" s="3" t="s">
        <v>1428</v>
      </c>
      <c r="C88" s="3" t="s">
        <v>201</v>
      </c>
      <c r="D88" s="3" t="s">
        <v>375</v>
      </c>
      <c r="E88" s="3">
        <v>42</v>
      </c>
      <c r="F88" s="3" t="s">
        <v>35</v>
      </c>
      <c r="G88" s="3" t="s">
        <v>24</v>
      </c>
      <c r="H88" s="3"/>
      <c r="I88" s="3"/>
      <c r="J88" s="24" t="s">
        <v>1349</v>
      </c>
      <c r="K88" s="3"/>
      <c r="L88" s="6"/>
      <c r="M88" s="20"/>
      <c r="O88" s="3"/>
      <c r="P88" s="3">
        <v>1</v>
      </c>
      <c r="Q88" s="3"/>
      <c r="R88" s="3"/>
      <c r="S88" s="3"/>
    </row>
    <row r="89" spans="1:19" ht="25" customHeight="1" x14ac:dyDescent="0.3">
      <c r="A89" s="3"/>
      <c r="B89" s="3" t="s">
        <v>1429</v>
      </c>
      <c r="C89" s="3" t="s">
        <v>1430</v>
      </c>
      <c r="D89" s="3" t="s">
        <v>91</v>
      </c>
      <c r="E89" s="3">
        <v>53</v>
      </c>
      <c r="F89" s="3" t="s">
        <v>35</v>
      </c>
      <c r="G89" s="3" t="s">
        <v>24</v>
      </c>
      <c r="H89" s="3"/>
      <c r="I89" s="3"/>
      <c r="J89" s="24" t="s">
        <v>1439</v>
      </c>
      <c r="K89" s="3"/>
      <c r="L89" s="6"/>
      <c r="M89" s="20"/>
      <c r="O89" s="3"/>
      <c r="P89" s="3">
        <v>1</v>
      </c>
      <c r="Q89" s="3"/>
      <c r="R89" s="3"/>
      <c r="S89" s="3"/>
    </row>
    <row r="90" spans="1:19" ht="25" customHeight="1" x14ac:dyDescent="0.3">
      <c r="A90" s="3"/>
      <c r="B90" s="3" t="s">
        <v>1250</v>
      </c>
      <c r="C90" s="3" t="s">
        <v>1329</v>
      </c>
      <c r="D90" s="3" t="s">
        <v>62</v>
      </c>
      <c r="E90" s="3">
        <v>36</v>
      </c>
      <c r="F90" s="3" t="s">
        <v>35</v>
      </c>
      <c r="G90" s="3" t="s">
        <v>29</v>
      </c>
      <c r="H90" s="3"/>
      <c r="I90" s="3"/>
      <c r="J90" s="24" t="s">
        <v>1351</v>
      </c>
      <c r="K90" s="3"/>
      <c r="L90" s="6"/>
      <c r="M90" s="20"/>
      <c r="O90" s="3">
        <v>1</v>
      </c>
      <c r="P90" s="3"/>
      <c r="Q90" s="3"/>
      <c r="R90" s="3"/>
      <c r="S90" s="3"/>
    </row>
    <row r="91" spans="1:19" ht="25" customHeight="1" x14ac:dyDescent="0.3">
      <c r="A91" s="3"/>
      <c r="B91" s="3" t="s">
        <v>1431</v>
      </c>
      <c r="C91" s="3" t="s">
        <v>214</v>
      </c>
      <c r="D91" s="3" t="s">
        <v>408</v>
      </c>
      <c r="E91" s="3">
        <v>55</v>
      </c>
      <c r="F91" s="3" t="s">
        <v>35</v>
      </c>
      <c r="G91" s="3" t="s">
        <v>1432</v>
      </c>
      <c r="H91" s="3"/>
      <c r="I91" s="3"/>
      <c r="J91" s="24" t="s">
        <v>415</v>
      </c>
      <c r="K91" s="3"/>
      <c r="L91" s="6"/>
      <c r="M91" s="20"/>
      <c r="O91" s="3"/>
      <c r="P91" s="3"/>
      <c r="Q91" s="3"/>
      <c r="R91" s="3"/>
      <c r="S91" s="3">
        <v>1</v>
      </c>
    </row>
    <row r="92" spans="1:19" ht="25" customHeight="1" x14ac:dyDescent="0.3">
      <c r="A92" s="3"/>
      <c r="B92" s="3" t="s">
        <v>1433</v>
      </c>
      <c r="C92" s="3" t="s">
        <v>854</v>
      </c>
      <c r="D92" s="3" t="s">
        <v>1246</v>
      </c>
      <c r="E92" s="3">
        <v>41</v>
      </c>
      <c r="F92" s="3" t="s">
        <v>35</v>
      </c>
      <c r="G92" s="3" t="s">
        <v>36</v>
      </c>
      <c r="H92" s="3"/>
      <c r="I92" s="3"/>
      <c r="J92" s="24" t="s">
        <v>1440</v>
      </c>
      <c r="K92" s="3"/>
      <c r="L92" s="6"/>
      <c r="M92" s="20"/>
      <c r="O92" s="3"/>
      <c r="P92" s="3"/>
      <c r="Q92" s="3">
        <v>1</v>
      </c>
      <c r="R92" s="3"/>
      <c r="S92" s="3"/>
    </row>
    <row r="93" spans="1:19" ht="25" customHeight="1" x14ac:dyDescent="0.3">
      <c r="A93" s="3"/>
      <c r="B93" s="3" t="s">
        <v>1274</v>
      </c>
      <c r="C93" s="3" t="s">
        <v>146</v>
      </c>
      <c r="D93" s="3" t="s">
        <v>88</v>
      </c>
      <c r="E93" s="3">
        <v>40</v>
      </c>
      <c r="F93" s="3" t="s">
        <v>35</v>
      </c>
      <c r="G93" s="3" t="s">
        <v>36</v>
      </c>
      <c r="H93" s="3"/>
      <c r="I93" s="3"/>
      <c r="J93" s="24" t="s">
        <v>565</v>
      </c>
      <c r="K93" s="3"/>
      <c r="L93" s="6"/>
      <c r="M93" s="20"/>
      <c r="O93" s="3"/>
      <c r="P93" s="3"/>
      <c r="Q93" s="3">
        <v>1</v>
      </c>
      <c r="R93" s="3"/>
      <c r="S93" s="3"/>
    </row>
    <row r="94" spans="1:19" ht="25" customHeight="1" x14ac:dyDescent="0.3">
      <c r="A94" s="3"/>
      <c r="B94" s="3" t="s">
        <v>1434</v>
      </c>
      <c r="C94" s="3" t="s">
        <v>201</v>
      </c>
      <c r="D94" s="3" t="s">
        <v>227</v>
      </c>
      <c r="E94" s="3">
        <v>37</v>
      </c>
      <c r="F94" s="3" t="s">
        <v>35</v>
      </c>
      <c r="G94" s="3" t="s">
        <v>24</v>
      </c>
      <c r="H94" s="3"/>
      <c r="I94" s="3"/>
      <c r="J94" s="24" t="s">
        <v>1441</v>
      </c>
      <c r="K94" s="3"/>
      <c r="L94" s="6"/>
      <c r="M94" s="20"/>
      <c r="O94" s="3"/>
      <c r="P94" s="3">
        <v>1</v>
      </c>
      <c r="Q94" s="3"/>
      <c r="R94" s="3"/>
      <c r="S94" s="3"/>
    </row>
    <row r="95" spans="1:19" ht="25" customHeight="1" x14ac:dyDescent="0.3">
      <c r="A95" s="3"/>
      <c r="B95" s="3" t="s">
        <v>1435</v>
      </c>
      <c r="C95" s="3" t="s">
        <v>200</v>
      </c>
      <c r="D95" s="3" t="s">
        <v>1436</v>
      </c>
      <c r="E95" s="3">
        <v>52</v>
      </c>
      <c r="F95" s="3" t="s">
        <v>35</v>
      </c>
      <c r="G95" s="3" t="s">
        <v>64</v>
      </c>
      <c r="H95" s="3"/>
      <c r="I95" s="3"/>
      <c r="J95" s="24" t="s">
        <v>565</v>
      </c>
      <c r="K95" s="3"/>
      <c r="L95" s="6"/>
      <c r="M95" s="20"/>
      <c r="O95" s="3"/>
      <c r="P95" s="3"/>
      <c r="Q95" s="3"/>
      <c r="R95" s="3">
        <v>1</v>
      </c>
      <c r="S95" s="3"/>
    </row>
    <row r="96" spans="1:19" ht="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24"/>
      <c r="K96" s="3"/>
      <c r="L96" s="6"/>
      <c r="M96" s="20"/>
      <c r="O96" s="3"/>
      <c r="P96" s="3"/>
      <c r="Q96" s="3"/>
      <c r="R96" s="3"/>
      <c r="S96" s="3"/>
    </row>
    <row r="97" spans="1:19" ht="25" customHeight="1" x14ac:dyDescent="0.3">
      <c r="A97" s="3"/>
      <c r="B97" s="3" t="s">
        <v>1519</v>
      </c>
      <c r="C97" s="3" t="s">
        <v>372</v>
      </c>
      <c r="D97" s="3" t="s">
        <v>60</v>
      </c>
      <c r="E97" s="3">
        <v>41</v>
      </c>
      <c r="F97" s="3" t="s">
        <v>35</v>
      </c>
      <c r="G97" s="3" t="s">
        <v>36</v>
      </c>
      <c r="H97" s="3"/>
      <c r="I97" s="3"/>
      <c r="J97" s="24" t="s">
        <v>944</v>
      </c>
      <c r="K97" s="3"/>
      <c r="L97" s="6"/>
      <c r="M97" s="20"/>
      <c r="O97" s="3"/>
      <c r="P97" s="3"/>
      <c r="Q97" s="3">
        <v>1</v>
      </c>
      <c r="R97" s="3"/>
      <c r="S97" s="3"/>
    </row>
    <row r="98" spans="1:19" ht="25" customHeight="1" x14ac:dyDescent="0.3">
      <c r="A98" s="3"/>
      <c r="B98" s="3" t="s">
        <v>1530</v>
      </c>
      <c r="C98" s="3" t="s">
        <v>1198</v>
      </c>
      <c r="D98" s="3" t="s">
        <v>34</v>
      </c>
      <c r="E98" s="3">
        <v>56</v>
      </c>
      <c r="F98" s="3" t="s">
        <v>35</v>
      </c>
      <c r="G98" s="3" t="s">
        <v>24</v>
      </c>
      <c r="H98" s="3"/>
      <c r="I98" s="3"/>
      <c r="J98" s="40" t="s">
        <v>1529</v>
      </c>
      <c r="K98" s="3"/>
      <c r="L98" s="6"/>
      <c r="M98" s="20"/>
      <c r="O98" s="3"/>
      <c r="P98" s="3">
        <v>1</v>
      </c>
      <c r="Q98" s="3"/>
      <c r="R98" s="3"/>
      <c r="S98" s="3"/>
    </row>
    <row r="99" spans="1:19" ht="25" customHeight="1" x14ac:dyDescent="0.3">
      <c r="A99" s="3"/>
      <c r="B99" s="3" t="s">
        <v>1533</v>
      </c>
      <c r="C99" s="3" t="s">
        <v>1534</v>
      </c>
      <c r="D99" s="3"/>
      <c r="E99" s="3">
        <v>55</v>
      </c>
      <c r="F99" s="3" t="s">
        <v>35</v>
      </c>
      <c r="G99" s="3" t="s">
        <v>36</v>
      </c>
      <c r="H99" s="3"/>
      <c r="I99" s="3"/>
      <c r="J99" s="40" t="s">
        <v>1529</v>
      </c>
      <c r="K99" s="3"/>
      <c r="L99" s="6"/>
      <c r="M99" s="20"/>
      <c r="O99" s="3"/>
      <c r="P99" s="3"/>
      <c r="Q99" s="3">
        <v>1</v>
      </c>
      <c r="R99" s="3"/>
      <c r="S99" s="3"/>
    </row>
    <row r="100" spans="1:19" ht="25" customHeight="1" x14ac:dyDescent="0.3">
      <c r="A100" s="3"/>
      <c r="B100" s="3" t="s">
        <v>1536</v>
      </c>
      <c r="C100" s="3" t="s">
        <v>201</v>
      </c>
      <c r="D100" s="3" t="s">
        <v>59</v>
      </c>
      <c r="E100" s="3">
        <v>41</v>
      </c>
      <c r="F100" s="3" t="s">
        <v>35</v>
      </c>
      <c r="G100" s="3" t="s">
        <v>24</v>
      </c>
      <c r="H100" s="3"/>
      <c r="I100" s="3"/>
      <c r="J100" s="40" t="s">
        <v>1529</v>
      </c>
      <c r="K100" s="3"/>
      <c r="L100" s="6"/>
      <c r="M100" s="20"/>
      <c r="O100" s="3"/>
      <c r="P100" s="3">
        <v>1</v>
      </c>
      <c r="Q100" s="3"/>
      <c r="R100" s="3"/>
      <c r="S100" s="3"/>
    </row>
    <row r="101" spans="1:19" ht="25" customHeight="1" x14ac:dyDescent="0.3">
      <c r="A101" s="3"/>
      <c r="B101" s="40" t="s">
        <v>1537</v>
      </c>
      <c r="C101" s="40" t="s">
        <v>853</v>
      </c>
      <c r="D101" s="40" t="s">
        <v>854</v>
      </c>
      <c r="E101" s="3">
        <v>52</v>
      </c>
      <c r="F101" s="3" t="s">
        <v>35</v>
      </c>
      <c r="G101" s="3" t="s">
        <v>24</v>
      </c>
      <c r="H101" s="3"/>
      <c r="I101" s="3"/>
      <c r="J101" s="40" t="s">
        <v>1529</v>
      </c>
      <c r="K101" s="3"/>
      <c r="L101" s="6"/>
      <c r="M101" s="20"/>
      <c r="O101" s="3"/>
      <c r="P101" s="3">
        <v>1</v>
      </c>
      <c r="Q101" s="3"/>
      <c r="R101" s="3"/>
      <c r="S101" s="3"/>
    </row>
    <row r="102" spans="1:19" ht="25" customHeight="1" x14ac:dyDescent="0.3">
      <c r="A102" s="3"/>
      <c r="B102" s="40" t="s">
        <v>1538</v>
      </c>
      <c r="C102" s="40" t="s">
        <v>214</v>
      </c>
      <c r="D102" s="40" t="s">
        <v>464</v>
      </c>
      <c r="E102" s="3">
        <v>46</v>
      </c>
      <c r="F102" s="3" t="s">
        <v>35</v>
      </c>
      <c r="G102" s="3" t="s">
        <v>24</v>
      </c>
      <c r="H102" s="3"/>
      <c r="I102" s="3"/>
      <c r="J102" s="40" t="s">
        <v>1529</v>
      </c>
      <c r="K102" s="3"/>
      <c r="L102" s="6"/>
      <c r="M102" s="20"/>
      <c r="O102" s="3"/>
      <c r="P102" s="3">
        <v>1</v>
      </c>
      <c r="Q102" s="3"/>
      <c r="R102" s="3"/>
      <c r="S102" s="3"/>
    </row>
    <row r="103" spans="1:19" ht="25" customHeight="1" x14ac:dyDescent="0.3">
      <c r="A103" s="3"/>
      <c r="B103" s="3" t="s">
        <v>1591</v>
      </c>
      <c r="C103" s="3" t="s">
        <v>1574</v>
      </c>
      <c r="D103" s="3" t="s">
        <v>1592</v>
      </c>
      <c r="E103" s="3">
        <v>56</v>
      </c>
      <c r="F103" s="3" t="s">
        <v>35</v>
      </c>
      <c r="G103" s="3" t="s">
        <v>36</v>
      </c>
      <c r="H103" s="3"/>
      <c r="I103" s="3"/>
      <c r="J103" s="24"/>
      <c r="K103" s="3"/>
      <c r="L103" s="6"/>
      <c r="M103" s="20"/>
      <c r="O103" s="3"/>
      <c r="P103" s="3"/>
      <c r="Q103" s="3">
        <v>1</v>
      </c>
      <c r="R103" s="3"/>
      <c r="S103" s="3"/>
    </row>
    <row r="104" spans="1:19" ht="25" customHeight="1" x14ac:dyDescent="0.3">
      <c r="A104" s="3"/>
      <c r="B104" s="3" t="s">
        <v>1599</v>
      </c>
      <c r="C104" s="3" t="s">
        <v>222</v>
      </c>
      <c r="D104" s="3" t="s">
        <v>1600</v>
      </c>
      <c r="E104" s="3">
        <v>57</v>
      </c>
      <c r="F104" s="3" t="s">
        <v>35</v>
      </c>
      <c r="G104" s="3" t="s">
        <v>36</v>
      </c>
      <c r="H104" s="3"/>
      <c r="I104" s="3"/>
      <c r="J104" s="24" t="s">
        <v>565</v>
      </c>
      <c r="K104" s="3"/>
      <c r="L104" s="6"/>
      <c r="M104" s="20"/>
      <c r="O104" s="3"/>
      <c r="P104" s="3"/>
      <c r="Q104" s="3">
        <v>1</v>
      </c>
      <c r="R104" s="3"/>
      <c r="S104" s="3"/>
    </row>
    <row r="105" spans="1:19" ht="25" customHeight="1" x14ac:dyDescent="0.3">
      <c r="A105" s="3"/>
      <c r="B105" s="3" t="s">
        <v>1016</v>
      </c>
      <c r="C105" s="3" t="s">
        <v>1634</v>
      </c>
      <c r="D105" s="3" t="s">
        <v>469</v>
      </c>
      <c r="E105" s="3">
        <v>55</v>
      </c>
      <c r="F105" s="3" t="s">
        <v>35</v>
      </c>
      <c r="G105" s="3" t="s">
        <v>64</v>
      </c>
      <c r="H105" s="3"/>
      <c r="I105" s="3"/>
      <c r="J105" s="24" t="s">
        <v>1635</v>
      </c>
      <c r="K105" s="3"/>
      <c r="L105" s="6"/>
      <c r="M105" s="20"/>
      <c r="O105" s="3"/>
      <c r="P105" s="3"/>
      <c r="Q105" s="3"/>
      <c r="R105" s="3">
        <v>1</v>
      </c>
      <c r="S105" s="3"/>
    </row>
    <row r="106" spans="1:19" ht="25" customHeight="1" x14ac:dyDescent="0.3">
      <c r="A106" s="3"/>
      <c r="B106" s="3" t="s">
        <v>1641</v>
      </c>
      <c r="C106" s="3" t="s">
        <v>91</v>
      </c>
      <c r="D106" s="3" t="s">
        <v>91</v>
      </c>
      <c r="E106" s="3">
        <v>46</v>
      </c>
      <c r="F106" s="3" t="s">
        <v>35</v>
      </c>
      <c r="G106" s="3" t="s">
        <v>36</v>
      </c>
      <c r="H106" s="3"/>
      <c r="I106" s="3"/>
      <c r="J106" s="24" t="s">
        <v>1642</v>
      </c>
      <c r="K106" s="3"/>
      <c r="L106" s="6"/>
      <c r="M106" s="20"/>
      <c r="O106" s="3"/>
      <c r="P106" s="3"/>
      <c r="Q106" s="3">
        <v>1</v>
      </c>
      <c r="R106" s="3"/>
      <c r="S106" s="3"/>
    </row>
    <row r="107" spans="1:19" ht="25" customHeight="1" x14ac:dyDescent="0.3">
      <c r="A107" s="3"/>
      <c r="B107" s="3" t="s">
        <v>1709</v>
      </c>
      <c r="C107" s="3" t="s">
        <v>1710</v>
      </c>
      <c r="D107" s="3" t="s">
        <v>1711</v>
      </c>
      <c r="E107" s="3">
        <v>41</v>
      </c>
      <c r="F107" s="3" t="s">
        <v>35</v>
      </c>
      <c r="G107" s="3" t="s">
        <v>36</v>
      </c>
      <c r="H107" s="3"/>
      <c r="I107" s="3"/>
      <c r="J107" s="24" t="s">
        <v>1712</v>
      </c>
      <c r="K107" s="3"/>
      <c r="L107" s="6"/>
      <c r="M107" s="20"/>
      <c r="O107" s="3"/>
      <c r="P107" s="3"/>
      <c r="Q107" s="3">
        <v>1</v>
      </c>
      <c r="R107" s="3"/>
      <c r="S107" s="3"/>
    </row>
    <row r="108" spans="1:19" ht="25" customHeight="1" x14ac:dyDescent="0.3">
      <c r="A108" s="3"/>
      <c r="B108" s="3" t="s">
        <v>1717</v>
      </c>
      <c r="C108" s="3" t="s">
        <v>1718</v>
      </c>
      <c r="D108" s="3" t="s">
        <v>656</v>
      </c>
      <c r="E108" s="3">
        <v>43</v>
      </c>
      <c r="F108" s="3" t="s">
        <v>35</v>
      </c>
      <c r="G108" s="3" t="s">
        <v>36</v>
      </c>
      <c r="H108" s="3"/>
      <c r="I108" s="3"/>
      <c r="J108" s="24" t="s">
        <v>1719</v>
      </c>
      <c r="K108" s="3"/>
      <c r="L108" s="6"/>
      <c r="M108" s="20"/>
      <c r="O108" s="3"/>
      <c r="P108" s="3"/>
      <c r="Q108" s="3">
        <v>1</v>
      </c>
      <c r="R108" s="3"/>
      <c r="S108" s="3"/>
    </row>
    <row r="109" spans="1:19" ht="25" customHeight="1" x14ac:dyDescent="0.3">
      <c r="A109" s="3"/>
      <c r="B109" s="3" t="s">
        <v>1839</v>
      </c>
      <c r="C109" s="3" t="s">
        <v>228</v>
      </c>
      <c r="D109" s="3" t="s">
        <v>1840</v>
      </c>
      <c r="E109" s="3">
        <v>55</v>
      </c>
      <c r="F109" s="3" t="s">
        <v>35</v>
      </c>
      <c r="G109" s="3" t="s">
        <v>24</v>
      </c>
      <c r="H109" s="3"/>
      <c r="I109" s="3"/>
      <c r="J109" s="24" t="s">
        <v>1061</v>
      </c>
      <c r="K109" s="3"/>
      <c r="L109" s="6"/>
      <c r="M109" s="20"/>
      <c r="O109" s="3"/>
      <c r="P109" s="3">
        <v>1</v>
      </c>
      <c r="Q109" s="3"/>
      <c r="R109" s="3"/>
      <c r="S109" s="3"/>
    </row>
    <row r="110" spans="1:19" ht="25" customHeight="1" x14ac:dyDescent="0.3">
      <c r="A110" s="3"/>
      <c r="B110" s="3" t="s">
        <v>1877</v>
      </c>
      <c r="C110" s="3" t="s">
        <v>850</v>
      </c>
      <c r="D110" s="3" t="s">
        <v>91</v>
      </c>
      <c r="E110" s="3">
        <v>54</v>
      </c>
      <c r="F110" s="3" t="s">
        <v>35</v>
      </c>
      <c r="G110" s="3" t="s">
        <v>36</v>
      </c>
      <c r="H110" s="3"/>
      <c r="I110" s="3"/>
      <c r="J110" s="25" t="s">
        <v>1642</v>
      </c>
      <c r="K110" s="3"/>
      <c r="L110" s="3"/>
      <c r="M110" s="20"/>
      <c r="N110" s="20"/>
      <c r="O110" s="3"/>
      <c r="P110" s="3"/>
      <c r="Q110" s="3">
        <v>1</v>
      </c>
      <c r="R110" s="3"/>
      <c r="S110" s="3"/>
    </row>
    <row r="111" spans="1:19" ht="25" customHeight="1" x14ac:dyDescent="0.3">
      <c r="A111" s="3"/>
      <c r="B111" s="3" t="s">
        <v>1477</v>
      </c>
      <c r="C111" s="3" t="s">
        <v>558</v>
      </c>
      <c r="D111" s="3" t="s">
        <v>945</v>
      </c>
      <c r="E111" s="3">
        <v>50</v>
      </c>
      <c r="F111" s="3" t="s">
        <v>35</v>
      </c>
      <c r="G111" s="3" t="s">
        <v>24</v>
      </c>
      <c r="H111" s="3"/>
      <c r="I111" s="3"/>
      <c r="J111" s="25" t="s">
        <v>1642</v>
      </c>
      <c r="K111" s="3"/>
      <c r="L111" s="3"/>
      <c r="M111" s="20"/>
      <c r="N111" s="20"/>
      <c r="O111" s="3"/>
      <c r="P111" s="3">
        <v>1</v>
      </c>
      <c r="Q111" s="3"/>
      <c r="R111" s="3"/>
      <c r="S111" s="3"/>
    </row>
    <row r="112" spans="1:19" ht="25" customHeight="1" x14ac:dyDescent="0.3">
      <c r="A112" s="3"/>
      <c r="B112" s="3" t="s">
        <v>2093</v>
      </c>
      <c r="C112" s="3" t="s">
        <v>214</v>
      </c>
      <c r="D112" s="3" t="s">
        <v>86</v>
      </c>
      <c r="E112" s="3">
        <v>39</v>
      </c>
      <c r="F112" s="3" t="s">
        <v>35</v>
      </c>
      <c r="G112" s="3" t="s">
        <v>36</v>
      </c>
      <c r="H112" s="3"/>
      <c r="I112" s="3"/>
      <c r="J112" s="3" t="s">
        <v>1982</v>
      </c>
      <c r="K112" s="3"/>
      <c r="L112" s="6"/>
      <c r="M112" s="20"/>
      <c r="O112" s="3"/>
      <c r="P112" s="3"/>
      <c r="Q112" s="3">
        <v>1</v>
      </c>
      <c r="R112" s="3"/>
      <c r="S112" s="3"/>
    </row>
    <row r="113" spans="1:19" ht="25" customHeight="1" x14ac:dyDescent="0.3">
      <c r="A113" s="3"/>
      <c r="B113" s="3" t="s">
        <v>2094</v>
      </c>
      <c r="C113" s="3" t="s">
        <v>2095</v>
      </c>
      <c r="D113" s="3" t="s">
        <v>2096</v>
      </c>
      <c r="E113" s="3">
        <v>51</v>
      </c>
      <c r="F113" s="3" t="s">
        <v>35</v>
      </c>
      <c r="G113" s="3" t="s">
        <v>36</v>
      </c>
      <c r="H113" s="3"/>
      <c r="I113" s="3"/>
      <c r="J113" s="3" t="s">
        <v>1982</v>
      </c>
      <c r="K113" s="3"/>
      <c r="L113" s="6"/>
      <c r="M113" s="20"/>
      <c r="O113" s="3"/>
      <c r="P113" s="3"/>
      <c r="Q113" s="3">
        <v>1</v>
      </c>
      <c r="R113" s="3"/>
      <c r="S113" s="3"/>
    </row>
    <row r="114" spans="1:19" ht="25" customHeight="1" x14ac:dyDescent="0.3">
      <c r="A114" s="3"/>
      <c r="B114" s="3" t="s">
        <v>2097</v>
      </c>
      <c r="C114" s="3" t="s">
        <v>338</v>
      </c>
      <c r="D114" s="3" t="s">
        <v>179</v>
      </c>
      <c r="E114" s="3">
        <v>50</v>
      </c>
      <c r="F114" s="3" t="s">
        <v>35</v>
      </c>
      <c r="G114" s="3" t="s">
        <v>36</v>
      </c>
      <c r="H114" s="3"/>
      <c r="I114" s="3"/>
      <c r="J114" s="3" t="s">
        <v>565</v>
      </c>
      <c r="K114" s="3"/>
      <c r="L114" s="6"/>
      <c r="M114" s="20"/>
      <c r="O114" s="3"/>
      <c r="P114" s="3"/>
      <c r="Q114" s="3">
        <v>1</v>
      </c>
      <c r="R114" s="3"/>
      <c r="S114" s="3"/>
    </row>
    <row r="115" spans="1:19" ht="25" customHeight="1" x14ac:dyDescent="0.3">
      <c r="A115" s="3"/>
      <c r="B115" s="3" t="s">
        <v>1382</v>
      </c>
      <c r="C115" s="3" t="s">
        <v>2098</v>
      </c>
      <c r="D115" s="3" t="s">
        <v>2099</v>
      </c>
      <c r="E115" s="3">
        <v>36</v>
      </c>
      <c r="F115" s="3" t="s">
        <v>35</v>
      </c>
      <c r="G115" s="3" t="s">
        <v>29</v>
      </c>
      <c r="H115" s="3"/>
      <c r="I115" s="3"/>
      <c r="J115" s="3" t="s">
        <v>1358</v>
      </c>
      <c r="K115" s="3"/>
      <c r="L115" s="6"/>
      <c r="M115" s="20"/>
      <c r="O115" s="3">
        <v>1</v>
      </c>
      <c r="P115" s="3"/>
      <c r="Q115" s="3"/>
      <c r="R115" s="3"/>
      <c r="S115" s="3"/>
    </row>
    <row r="116" spans="1:19" ht="25" customHeight="1" x14ac:dyDescent="0.3">
      <c r="A116" s="3"/>
      <c r="B116" s="3" t="s">
        <v>2100</v>
      </c>
      <c r="C116" s="3" t="s">
        <v>2101</v>
      </c>
      <c r="D116" s="3" t="s">
        <v>2102</v>
      </c>
      <c r="E116" s="3">
        <v>41</v>
      </c>
      <c r="F116" s="3" t="s">
        <v>35</v>
      </c>
      <c r="G116" s="3" t="s">
        <v>24</v>
      </c>
      <c r="H116" s="3"/>
      <c r="I116" s="3"/>
      <c r="J116" s="3" t="s">
        <v>1990</v>
      </c>
      <c r="K116" s="3"/>
      <c r="L116" s="6"/>
      <c r="M116" s="20"/>
      <c r="O116" s="3"/>
      <c r="P116" s="3">
        <v>1</v>
      </c>
      <c r="Q116" s="3"/>
      <c r="R116" s="3"/>
      <c r="S116" s="3"/>
    </row>
    <row r="117" spans="1:19" ht="25" customHeight="1" x14ac:dyDescent="0.3">
      <c r="A117" s="3"/>
      <c r="B117" s="3" t="s">
        <v>2103</v>
      </c>
      <c r="C117" s="3" t="s">
        <v>2104</v>
      </c>
      <c r="D117" s="3" t="s">
        <v>223</v>
      </c>
      <c r="E117" s="3">
        <v>42</v>
      </c>
      <c r="F117" s="3" t="s">
        <v>35</v>
      </c>
      <c r="G117" s="3" t="s">
        <v>24</v>
      </c>
      <c r="H117" s="3"/>
      <c r="I117" s="3"/>
      <c r="J117" s="3" t="s">
        <v>1991</v>
      </c>
      <c r="K117" s="3"/>
      <c r="L117" s="6"/>
      <c r="M117" s="20"/>
      <c r="O117" s="3"/>
      <c r="P117" s="3">
        <v>1</v>
      </c>
      <c r="Q117" s="3"/>
      <c r="R117" s="3"/>
      <c r="S117" s="3"/>
    </row>
    <row r="118" spans="1:19" ht="25" customHeight="1" x14ac:dyDescent="0.3">
      <c r="A118" s="3"/>
      <c r="B118" s="3" t="s">
        <v>2105</v>
      </c>
      <c r="C118" s="3" t="s">
        <v>2062</v>
      </c>
      <c r="D118" s="3" t="s">
        <v>203</v>
      </c>
      <c r="E118" s="3">
        <v>50</v>
      </c>
      <c r="F118" s="3" t="s">
        <v>35</v>
      </c>
      <c r="G118" s="3" t="s">
        <v>24</v>
      </c>
      <c r="H118" s="3"/>
      <c r="I118" s="3"/>
      <c r="J118" s="3" t="s">
        <v>2120</v>
      </c>
      <c r="K118" s="3"/>
      <c r="L118" s="6"/>
      <c r="M118" s="20"/>
      <c r="O118" s="3"/>
      <c r="P118" s="3">
        <v>1</v>
      </c>
      <c r="Q118" s="3"/>
      <c r="R118" s="3"/>
      <c r="S118" s="3"/>
    </row>
    <row r="119" spans="1:19" ht="25" customHeight="1" x14ac:dyDescent="0.3">
      <c r="A119" s="3"/>
      <c r="B119" s="41" t="s">
        <v>2106</v>
      </c>
      <c r="C119" s="41" t="s">
        <v>723</v>
      </c>
      <c r="D119" s="41" t="s">
        <v>2107</v>
      </c>
      <c r="E119" s="42">
        <v>57</v>
      </c>
      <c r="F119" s="3" t="s">
        <v>35</v>
      </c>
      <c r="G119" s="3" t="s">
        <v>24</v>
      </c>
      <c r="H119" s="3"/>
      <c r="I119" s="3"/>
      <c r="J119" s="3" t="s">
        <v>2005</v>
      </c>
      <c r="K119" s="3"/>
      <c r="L119" s="6"/>
      <c r="M119" s="20"/>
      <c r="O119" s="3"/>
      <c r="P119" s="3">
        <v>1</v>
      </c>
      <c r="Q119" s="3"/>
      <c r="R119" s="3"/>
      <c r="S119" s="3"/>
    </row>
    <row r="120" spans="1:19" ht="25" customHeight="1" x14ac:dyDescent="0.3">
      <c r="A120" s="3"/>
      <c r="B120" s="41" t="s">
        <v>2108</v>
      </c>
      <c r="C120" s="41" t="s">
        <v>227</v>
      </c>
      <c r="D120" s="41" t="s">
        <v>157</v>
      </c>
      <c r="E120" s="42">
        <v>50</v>
      </c>
      <c r="F120" s="3" t="s">
        <v>35</v>
      </c>
      <c r="G120" s="3" t="s">
        <v>24</v>
      </c>
      <c r="H120" s="3"/>
      <c r="I120" s="3"/>
      <c r="J120" s="3" t="s">
        <v>2005</v>
      </c>
      <c r="K120" s="3"/>
      <c r="L120" s="6"/>
      <c r="M120" s="20"/>
      <c r="O120" s="3"/>
      <c r="P120" s="3">
        <v>1</v>
      </c>
      <c r="Q120" s="3"/>
      <c r="R120" s="3"/>
      <c r="S120" s="3"/>
    </row>
    <row r="121" spans="1:19" ht="25" customHeight="1" x14ac:dyDescent="0.3">
      <c r="A121" s="3"/>
      <c r="B121" s="41" t="s">
        <v>2109</v>
      </c>
      <c r="C121" s="41" t="s">
        <v>2110</v>
      </c>
      <c r="D121" s="41" t="s">
        <v>177</v>
      </c>
      <c r="E121" s="42">
        <v>48</v>
      </c>
      <c r="F121" s="3" t="s">
        <v>35</v>
      </c>
      <c r="G121" s="3" t="s">
        <v>65</v>
      </c>
      <c r="H121" s="3"/>
      <c r="I121" s="3"/>
      <c r="J121" s="3" t="s">
        <v>2005</v>
      </c>
      <c r="K121" s="3"/>
      <c r="L121" s="6"/>
      <c r="M121" s="20"/>
      <c r="O121" s="3"/>
      <c r="P121" s="3"/>
      <c r="Q121" s="3"/>
      <c r="R121" s="3"/>
      <c r="S121" s="3">
        <v>1</v>
      </c>
    </row>
    <row r="122" spans="1:19" ht="25" customHeight="1" x14ac:dyDescent="0.3">
      <c r="A122" s="3"/>
      <c r="B122" s="41" t="s">
        <v>2111</v>
      </c>
      <c r="C122" s="41" t="s">
        <v>332</v>
      </c>
      <c r="D122" s="41" t="s">
        <v>332</v>
      </c>
      <c r="E122" s="42">
        <v>53</v>
      </c>
      <c r="F122" s="3" t="s">
        <v>35</v>
      </c>
      <c r="G122" s="3" t="s">
        <v>24</v>
      </c>
      <c r="H122" s="3"/>
      <c r="I122" s="3"/>
      <c r="J122" s="3" t="s">
        <v>2005</v>
      </c>
      <c r="K122" s="3"/>
      <c r="L122" s="6"/>
      <c r="M122" s="20"/>
      <c r="O122" s="3"/>
      <c r="P122" s="3">
        <v>1</v>
      </c>
      <c r="Q122" s="3"/>
      <c r="R122" s="3"/>
      <c r="S122" s="3"/>
    </row>
    <row r="123" spans="1:19" ht="25" customHeight="1" x14ac:dyDescent="0.3">
      <c r="A123" s="3"/>
      <c r="B123" s="41" t="s">
        <v>1382</v>
      </c>
      <c r="C123" s="41" t="s">
        <v>332</v>
      </c>
      <c r="D123" s="41" t="s">
        <v>2112</v>
      </c>
      <c r="E123" s="42">
        <v>42</v>
      </c>
      <c r="F123" s="3" t="s">
        <v>35</v>
      </c>
      <c r="G123" s="3" t="s">
        <v>64</v>
      </c>
      <c r="H123" s="3"/>
      <c r="I123" s="3"/>
      <c r="J123" s="3" t="s">
        <v>2005</v>
      </c>
      <c r="K123" s="3"/>
      <c r="L123" s="6"/>
      <c r="M123" s="20"/>
      <c r="O123" s="3"/>
      <c r="P123" s="3"/>
      <c r="Q123" s="3"/>
      <c r="R123" s="3">
        <v>1</v>
      </c>
      <c r="S123" s="3"/>
    </row>
    <row r="124" spans="1:19" ht="25" customHeight="1" x14ac:dyDescent="0.3">
      <c r="A124" s="3"/>
      <c r="B124" s="41" t="s">
        <v>2113</v>
      </c>
      <c r="C124" s="41" t="s">
        <v>2114</v>
      </c>
      <c r="D124" s="41" t="s">
        <v>577</v>
      </c>
      <c r="E124" s="42">
        <v>57</v>
      </c>
      <c r="F124" s="3" t="s">
        <v>35</v>
      </c>
      <c r="G124" s="3" t="s">
        <v>24</v>
      </c>
      <c r="H124" s="3"/>
      <c r="I124" s="3"/>
      <c r="J124" s="3" t="s">
        <v>2005</v>
      </c>
      <c r="K124" s="3"/>
      <c r="L124" s="6"/>
      <c r="M124" s="20"/>
      <c r="O124" s="3"/>
      <c r="P124" s="3">
        <v>1</v>
      </c>
      <c r="Q124" s="3"/>
      <c r="R124" s="3"/>
      <c r="S124" s="3"/>
    </row>
    <row r="125" spans="1:19" ht="25" customHeight="1" x14ac:dyDescent="0.3">
      <c r="A125" s="3"/>
      <c r="B125" s="41" t="s">
        <v>2115</v>
      </c>
      <c r="C125" s="41" t="s">
        <v>2116</v>
      </c>
      <c r="D125" s="41" t="s">
        <v>2117</v>
      </c>
      <c r="E125" s="42">
        <v>58</v>
      </c>
      <c r="F125" s="3" t="s">
        <v>35</v>
      </c>
      <c r="G125" s="3" t="s">
        <v>36</v>
      </c>
      <c r="H125" s="3"/>
      <c r="I125" s="3"/>
      <c r="J125" s="3" t="s">
        <v>2005</v>
      </c>
      <c r="K125" s="3"/>
      <c r="L125" s="6"/>
      <c r="M125" s="20"/>
      <c r="O125" s="3"/>
      <c r="P125" s="3"/>
      <c r="Q125" s="3">
        <v>1</v>
      </c>
      <c r="R125" s="3"/>
      <c r="S125" s="3"/>
    </row>
    <row r="126" spans="1:19" ht="25" customHeight="1" x14ac:dyDescent="0.3">
      <c r="A126" s="3"/>
      <c r="B126" s="41" t="s">
        <v>362</v>
      </c>
      <c r="C126" s="41" t="s">
        <v>2118</v>
      </c>
      <c r="D126" s="41" t="s">
        <v>153</v>
      </c>
      <c r="E126" s="42">
        <v>64</v>
      </c>
      <c r="F126" s="3" t="s">
        <v>35</v>
      </c>
      <c r="G126" s="3" t="s">
        <v>24</v>
      </c>
      <c r="H126" s="3"/>
      <c r="I126" s="3"/>
      <c r="J126" s="3" t="s">
        <v>2005</v>
      </c>
      <c r="K126" s="3"/>
      <c r="L126" s="6"/>
      <c r="M126" s="20"/>
      <c r="O126" s="3"/>
      <c r="P126" s="3">
        <v>1</v>
      </c>
      <c r="Q126" s="3"/>
      <c r="R126" s="3"/>
      <c r="S126" s="3"/>
    </row>
    <row r="127" spans="1:19" ht="25" customHeight="1" x14ac:dyDescent="0.3">
      <c r="A127" s="3"/>
      <c r="B127" s="3" t="s">
        <v>2119</v>
      </c>
      <c r="C127" s="3" t="s">
        <v>308</v>
      </c>
      <c r="D127" s="3" t="s">
        <v>1958</v>
      </c>
      <c r="E127" s="3">
        <v>36</v>
      </c>
      <c r="F127" s="3" t="s">
        <v>35</v>
      </c>
      <c r="G127" s="3" t="s">
        <v>64</v>
      </c>
      <c r="H127" s="3"/>
      <c r="I127" s="3"/>
      <c r="J127" s="3" t="s">
        <v>923</v>
      </c>
      <c r="K127" s="3"/>
      <c r="L127" s="6"/>
      <c r="M127" s="20"/>
      <c r="O127" s="3"/>
      <c r="P127" s="3"/>
      <c r="Q127" s="3"/>
      <c r="R127" s="3">
        <v>1</v>
      </c>
      <c r="S127" s="3"/>
    </row>
    <row r="128" spans="1:19" ht="25" customHeight="1" x14ac:dyDescent="0.3">
      <c r="A128" s="3"/>
      <c r="B128" s="3" t="s">
        <v>465</v>
      </c>
      <c r="C128" s="3" t="s">
        <v>186</v>
      </c>
      <c r="D128" s="3" t="s">
        <v>342</v>
      </c>
      <c r="E128" s="3">
        <v>60</v>
      </c>
      <c r="F128" s="3" t="s">
        <v>35</v>
      </c>
      <c r="G128" s="3" t="s">
        <v>64</v>
      </c>
      <c r="H128" s="3"/>
      <c r="I128" s="3"/>
      <c r="J128" s="3" t="s">
        <v>923</v>
      </c>
      <c r="K128" s="3"/>
      <c r="L128" s="6"/>
      <c r="M128" s="20"/>
      <c r="O128" s="3"/>
      <c r="P128" s="3"/>
      <c r="Q128" s="3"/>
      <c r="R128" s="3">
        <v>1</v>
      </c>
      <c r="S128" s="3"/>
    </row>
    <row r="129" spans="1:19" ht="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6"/>
      <c r="M129" s="20"/>
      <c r="O129" s="3"/>
      <c r="P129" s="3"/>
      <c r="Q129" s="3"/>
      <c r="R129" s="3"/>
      <c r="S129" s="3"/>
    </row>
    <row r="130" spans="1:19" ht="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6"/>
      <c r="M130" s="20"/>
      <c r="O130" s="3"/>
      <c r="P130" s="3"/>
      <c r="Q130" s="3"/>
      <c r="R130" s="3"/>
      <c r="S130" s="3"/>
    </row>
    <row r="131" spans="1:19" ht="25" customHeight="1" x14ac:dyDescent="0.3">
      <c r="A131" s="3"/>
      <c r="B131" s="36" t="s">
        <v>2205</v>
      </c>
      <c r="C131" s="36" t="s">
        <v>558</v>
      </c>
      <c r="D131" s="36" t="s">
        <v>859</v>
      </c>
      <c r="E131" s="36">
        <v>43</v>
      </c>
      <c r="F131" s="36" t="s">
        <v>35</v>
      </c>
      <c r="G131" s="36" t="s">
        <v>36</v>
      </c>
      <c r="H131" s="3"/>
      <c r="I131" s="3"/>
      <c r="J131" s="36" t="s">
        <v>2185</v>
      </c>
      <c r="K131" s="3"/>
      <c r="L131" s="6"/>
      <c r="M131" s="5"/>
      <c r="O131" s="3"/>
      <c r="P131" s="3"/>
      <c r="Q131" s="3">
        <v>1</v>
      </c>
      <c r="R131" s="3"/>
      <c r="S131" s="3"/>
    </row>
    <row r="132" spans="1:19" ht="25" customHeight="1" x14ac:dyDescent="0.3">
      <c r="A132" s="3"/>
      <c r="B132" s="36" t="s">
        <v>2206</v>
      </c>
      <c r="C132" s="36" t="s">
        <v>1184</v>
      </c>
      <c r="D132" s="36" t="s">
        <v>206</v>
      </c>
      <c r="E132" s="36">
        <v>60</v>
      </c>
      <c r="F132" s="36" t="s">
        <v>35</v>
      </c>
      <c r="G132" s="36" t="s">
        <v>2207</v>
      </c>
      <c r="H132" s="3"/>
      <c r="I132" s="3"/>
      <c r="J132" s="36" t="s">
        <v>2185</v>
      </c>
      <c r="K132" s="3"/>
      <c r="L132" s="6"/>
      <c r="M132" s="5"/>
      <c r="O132" s="3"/>
      <c r="P132" s="3">
        <v>1</v>
      </c>
      <c r="Q132" s="3"/>
      <c r="R132" s="3"/>
      <c r="S132" s="3"/>
    </row>
    <row r="133" spans="1:19" ht="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6"/>
      <c r="M133" s="5"/>
      <c r="O133" s="3"/>
      <c r="P133" s="3"/>
      <c r="Q133" s="3"/>
      <c r="R133" s="3"/>
      <c r="S133" s="3"/>
    </row>
    <row r="134" spans="1:19" ht="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6"/>
      <c r="M134" s="5"/>
      <c r="O134" s="3"/>
      <c r="P134" s="3"/>
      <c r="Q134" s="3"/>
      <c r="R134" s="3"/>
      <c r="S134" s="3"/>
    </row>
    <row r="135" spans="1:19" ht="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6"/>
      <c r="M135" s="5"/>
      <c r="O135" s="3"/>
      <c r="P135" s="3"/>
      <c r="Q135" s="3"/>
      <c r="R135" s="3"/>
      <c r="S135" s="3"/>
    </row>
    <row r="136" spans="1:19" ht="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6"/>
      <c r="M136" s="5"/>
      <c r="O136" s="3"/>
      <c r="P136" s="3"/>
      <c r="Q136" s="3"/>
      <c r="R136" s="3"/>
      <c r="S136" s="3"/>
    </row>
    <row r="137" spans="1:19" ht="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24"/>
      <c r="K137" s="3"/>
      <c r="L137" s="6"/>
      <c r="M137" s="5"/>
      <c r="O137" s="3"/>
      <c r="P137" s="3"/>
      <c r="Q137" s="3"/>
      <c r="R137" s="3"/>
      <c r="S137" s="3"/>
    </row>
    <row r="138" spans="1:19" ht="20.5" x14ac:dyDescent="0.3">
      <c r="F138" s="7" t="s">
        <v>55</v>
      </c>
      <c r="G138" s="10">
        <f>O138+P138+Q138+R138+S138</f>
        <v>121</v>
      </c>
      <c r="J138" s="19"/>
      <c r="K138" s="7"/>
      <c r="L138" s="9"/>
      <c r="M138" s="8"/>
      <c r="O138" s="7">
        <f>SUM(O8:O137)</f>
        <v>7</v>
      </c>
      <c r="P138" s="7">
        <f>SUM(P8:P137)</f>
        <v>47</v>
      </c>
      <c r="Q138" s="7">
        <f>SUM(Q8:Q137)</f>
        <v>54</v>
      </c>
      <c r="R138" s="7">
        <f>SUM(R8:R137)</f>
        <v>7</v>
      </c>
      <c r="S138" s="7">
        <f>SUM(S8:S137)</f>
        <v>6</v>
      </c>
    </row>
  </sheetData>
  <mergeCells count="6">
    <mergeCell ref="A4:I4"/>
    <mergeCell ref="A5:I5"/>
    <mergeCell ref="A6:I6"/>
    <mergeCell ref="A1:I1"/>
    <mergeCell ref="A2:I2"/>
    <mergeCell ref="A3:I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B16A-52BE-4FBF-A655-BF5C3E7088DC}">
  <dimension ref="A1:S148"/>
  <sheetViews>
    <sheetView zoomScale="90" zoomScaleNormal="90" zoomScaleSheetLayoutView="80" workbookViewId="0">
      <pane xSplit="7" ySplit="7" topLeftCell="H60" activePane="bottomRight" state="frozenSplit"/>
      <selection pane="topRight" activeCell="E1" sqref="E1"/>
      <selection pane="bottomLeft" activeCell="A10" sqref="A10"/>
      <selection pane="bottomRight" activeCell="C62" sqref="C62"/>
    </sheetView>
  </sheetViews>
  <sheetFormatPr baseColWidth="10" defaultColWidth="11.453125" defaultRowHeight="14" x14ac:dyDescent="0.3"/>
  <cols>
    <col min="1" max="1" width="11.453125" style="18"/>
    <col min="2" max="4" width="20.7265625" style="18" customWidth="1"/>
    <col min="5" max="5" width="11.453125" style="18"/>
    <col min="6" max="6" width="14" style="18" bestFit="1" customWidth="1"/>
    <col min="7" max="7" width="18.81640625" style="18" bestFit="1" customWidth="1"/>
    <col min="8" max="8" width="20.453125" style="18" hidden="1" customWidth="1"/>
    <col min="9" max="9" width="18.1796875" style="18" bestFit="1" customWidth="1"/>
    <col min="10" max="10" width="18.81640625" style="18" customWidth="1"/>
    <col min="11" max="11" width="18.1796875" style="18" hidden="1" customWidth="1"/>
    <col min="12" max="12" width="20.1796875" style="18" hidden="1" customWidth="1"/>
    <col min="13" max="13" width="18.1796875" style="18" hidden="1" customWidth="1"/>
    <col min="14" max="16384" width="11.453125" style="18"/>
  </cols>
  <sheetData>
    <row r="1" spans="1:19" ht="20.5" x14ac:dyDescent="0.45">
      <c r="A1" s="49" t="s">
        <v>9</v>
      </c>
      <c r="B1" s="49"/>
      <c r="C1" s="49"/>
      <c r="D1" s="49"/>
      <c r="E1" s="49"/>
      <c r="F1" s="49"/>
      <c r="G1" s="49"/>
      <c r="H1" s="49"/>
      <c r="I1" s="49"/>
    </row>
    <row r="2" spans="1:19" ht="20.5" x14ac:dyDescent="0.45">
      <c r="A2" s="49" t="s">
        <v>10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11</v>
      </c>
      <c r="B3" s="49"/>
      <c r="C3" s="49"/>
      <c r="D3" s="49"/>
      <c r="E3" s="49"/>
      <c r="F3" s="49"/>
      <c r="G3" s="49"/>
      <c r="H3" s="49"/>
      <c r="I3" s="49"/>
    </row>
    <row r="4" spans="1:19" ht="18" x14ac:dyDescent="0.4">
      <c r="A4" s="50" t="s">
        <v>37</v>
      </c>
      <c r="B4" s="50"/>
      <c r="C4" s="50"/>
      <c r="D4" s="50"/>
      <c r="E4" s="50"/>
      <c r="F4" s="50"/>
      <c r="G4" s="50"/>
      <c r="H4" s="50"/>
      <c r="I4" s="50"/>
    </row>
    <row r="5" spans="1:19" ht="18" x14ac:dyDescent="0.4">
      <c r="A5" s="50" t="s">
        <v>18</v>
      </c>
      <c r="B5" s="50"/>
      <c r="C5" s="50"/>
      <c r="D5" s="50"/>
      <c r="E5" s="50"/>
      <c r="F5" s="50"/>
      <c r="G5" s="50"/>
      <c r="H5" s="50"/>
      <c r="I5" s="50"/>
    </row>
    <row r="6" spans="1:19" ht="7.5" customHeight="1" x14ac:dyDescent="0.4">
      <c r="A6" s="51"/>
      <c r="B6" s="51"/>
      <c r="C6" s="51"/>
      <c r="D6" s="51"/>
      <c r="E6" s="51"/>
      <c r="F6" s="51"/>
      <c r="G6" s="51"/>
      <c r="H6" s="51"/>
      <c r="I6" s="51"/>
      <c r="J6" s="19"/>
    </row>
    <row r="7" spans="1:19" ht="15.5" x14ac:dyDescent="0.35">
      <c r="A7" s="2" t="s">
        <v>6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7</v>
      </c>
      <c r="I7" s="2" t="s">
        <v>8</v>
      </c>
      <c r="J7" s="2" t="s">
        <v>316</v>
      </c>
      <c r="K7" s="2" t="s">
        <v>15</v>
      </c>
      <c r="L7" s="2" t="s">
        <v>16</v>
      </c>
      <c r="M7" s="2" t="s">
        <v>17</v>
      </c>
      <c r="O7" s="35" t="s">
        <v>29</v>
      </c>
      <c r="P7" s="35" t="s">
        <v>24</v>
      </c>
      <c r="Q7" s="35" t="s">
        <v>36</v>
      </c>
      <c r="R7" s="35" t="s">
        <v>66</v>
      </c>
      <c r="S7" s="35" t="s">
        <v>65</v>
      </c>
    </row>
    <row r="8" spans="1:19" ht="25" customHeight="1" x14ac:dyDescent="0.3">
      <c r="A8" s="3"/>
      <c r="B8" s="3" t="s">
        <v>45</v>
      </c>
      <c r="C8" s="3" t="s">
        <v>46</v>
      </c>
      <c r="D8" s="3" t="s">
        <v>47</v>
      </c>
      <c r="E8" s="3">
        <v>27</v>
      </c>
      <c r="F8" s="3" t="s">
        <v>35</v>
      </c>
      <c r="G8" s="3" t="s">
        <v>36</v>
      </c>
      <c r="H8" s="3"/>
      <c r="I8" s="3"/>
      <c r="J8" s="21"/>
      <c r="K8" s="3" t="s">
        <v>48</v>
      </c>
      <c r="L8" s="6">
        <v>179685761979</v>
      </c>
      <c r="M8" s="5">
        <v>200</v>
      </c>
      <c r="O8" s="3"/>
      <c r="P8" s="3"/>
      <c r="Q8" s="3">
        <v>1</v>
      </c>
      <c r="R8" s="3"/>
      <c r="S8" s="3"/>
    </row>
    <row r="9" spans="1:19" ht="25" customHeight="1" x14ac:dyDescent="0.3">
      <c r="A9" s="3"/>
      <c r="B9" s="3" t="s">
        <v>52</v>
      </c>
      <c r="C9" s="3" t="s">
        <v>53</v>
      </c>
      <c r="D9" s="3" t="s">
        <v>54</v>
      </c>
      <c r="E9" s="3">
        <v>25</v>
      </c>
      <c r="F9" s="3" t="s">
        <v>35</v>
      </c>
      <c r="G9" s="3" t="s">
        <v>24</v>
      </c>
      <c r="H9" s="3"/>
      <c r="I9" s="3"/>
      <c r="J9" s="21" t="s">
        <v>406</v>
      </c>
      <c r="K9" s="3" t="s">
        <v>48</v>
      </c>
      <c r="L9" s="6">
        <v>179689802855</v>
      </c>
      <c r="M9" s="20">
        <v>200</v>
      </c>
      <c r="O9" s="3"/>
      <c r="P9" s="3">
        <v>1</v>
      </c>
      <c r="Q9" s="3"/>
      <c r="R9" s="3"/>
      <c r="S9" s="3"/>
    </row>
    <row r="10" spans="1:19" ht="25" customHeight="1" x14ac:dyDescent="0.3">
      <c r="A10" s="3"/>
      <c r="B10" s="3" t="s">
        <v>182</v>
      </c>
      <c r="C10" s="3" t="s">
        <v>183</v>
      </c>
      <c r="D10" s="3" t="s">
        <v>184</v>
      </c>
      <c r="E10" s="3">
        <v>26</v>
      </c>
      <c r="F10" s="3" t="s">
        <v>35</v>
      </c>
      <c r="G10" s="3" t="s">
        <v>36</v>
      </c>
      <c r="H10" s="3"/>
      <c r="I10" s="3"/>
      <c r="J10" s="21" t="s">
        <v>406</v>
      </c>
      <c r="K10" s="3" t="s">
        <v>30</v>
      </c>
      <c r="L10" s="6">
        <v>63458234</v>
      </c>
      <c r="M10" s="20">
        <v>200</v>
      </c>
      <c r="O10" s="3"/>
      <c r="P10" s="3"/>
      <c r="Q10" s="3">
        <v>1</v>
      </c>
      <c r="R10" s="3"/>
      <c r="S10" s="3"/>
    </row>
    <row r="11" spans="1:19" ht="25" customHeight="1" x14ac:dyDescent="0.3">
      <c r="A11" s="3"/>
      <c r="B11" s="3" t="s">
        <v>197</v>
      </c>
      <c r="C11" s="3" t="s">
        <v>198</v>
      </c>
      <c r="D11" s="3" t="s">
        <v>199</v>
      </c>
      <c r="E11" s="3">
        <v>29</v>
      </c>
      <c r="F11" s="3" t="s">
        <v>35</v>
      </c>
      <c r="G11" s="3" t="s">
        <v>36</v>
      </c>
      <c r="H11" s="3"/>
      <c r="I11" s="3"/>
      <c r="J11" s="21"/>
      <c r="K11" s="3" t="s">
        <v>25</v>
      </c>
      <c r="L11" s="6">
        <v>8196287</v>
      </c>
      <c r="M11" s="20">
        <v>200</v>
      </c>
      <c r="O11" s="3"/>
      <c r="P11" s="3"/>
      <c r="Q11" s="3">
        <v>1</v>
      </c>
      <c r="R11" s="3"/>
      <c r="S11" s="3"/>
    </row>
    <row r="12" spans="1:19" ht="25" customHeight="1" x14ac:dyDescent="0.3">
      <c r="A12" s="3"/>
      <c r="B12" s="3" t="s">
        <v>205</v>
      </c>
      <c r="C12" s="3" t="s">
        <v>206</v>
      </c>
      <c r="D12" s="3" t="s">
        <v>207</v>
      </c>
      <c r="E12" s="3">
        <v>49</v>
      </c>
      <c r="F12" s="3" t="s">
        <v>35</v>
      </c>
      <c r="G12" s="3" t="s">
        <v>24</v>
      </c>
      <c r="H12" s="3"/>
      <c r="I12" s="3"/>
      <c r="J12" s="22"/>
      <c r="K12" s="3" t="s">
        <v>67</v>
      </c>
      <c r="L12" s="6">
        <v>604797</v>
      </c>
      <c r="M12" s="20">
        <v>200</v>
      </c>
      <c r="O12" s="3"/>
      <c r="P12" s="3">
        <v>1</v>
      </c>
      <c r="Q12" s="3"/>
      <c r="R12" s="3"/>
      <c r="S12" s="3"/>
    </row>
    <row r="13" spans="1:19" ht="25" customHeight="1" x14ac:dyDescent="0.3">
      <c r="A13" s="3"/>
      <c r="B13" s="3" t="s">
        <v>208</v>
      </c>
      <c r="C13" s="3" t="s">
        <v>209</v>
      </c>
      <c r="D13" s="3" t="s">
        <v>210</v>
      </c>
      <c r="E13" s="3">
        <v>32</v>
      </c>
      <c r="F13" s="3" t="s">
        <v>35</v>
      </c>
      <c r="G13" s="3" t="s">
        <v>29</v>
      </c>
      <c r="H13" s="3"/>
      <c r="I13" s="3"/>
      <c r="J13" s="21" t="s">
        <v>364</v>
      </c>
      <c r="K13" s="3" t="s">
        <v>30</v>
      </c>
      <c r="L13" s="6">
        <v>3751580</v>
      </c>
      <c r="M13" s="20">
        <v>200</v>
      </c>
      <c r="O13" s="3">
        <v>1</v>
      </c>
      <c r="P13" s="3"/>
      <c r="Q13" s="3"/>
      <c r="R13" s="3"/>
      <c r="S13" s="3"/>
    </row>
    <row r="14" spans="1:19" ht="25" customHeight="1" x14ac:dyDescent="0.3">
      <c r="A14" s="3"/>
      <c r="B14" s="3" t="s">
        <v>273</v>
      </c>
      <c r="C14" s="3" t="s">
        <v>274</v>
      </c>
      <c r="D14" s="3" t="s">
        <v>275</v>
      </c>
      <c r="E14" s="3">
        <v>34</v>
      </c>
      <c r="F14" s="3" t="s">
        <v>35</v>
      </c>
      <c r="G14" s="3" t="s">
        <v>36</v>
      </c>
      <c r="H14" s="3"/>
      <c r="I14" s="3"/>
      <c r="J14" s="21"/>
      <c r="K14" s="3" t="s">
        <v>30</v>
      </c>
      <c r="L14" s="3">
        <v>72854302</v>
      </c>
      <c r="M14" s="20">
        <v>2600</v>
      </c>
      <c r="O14" s="3"/>
      <c r="P14" s="3"/>
      <c r="Q14" s="3">
        <v>1</v>
      </c>
      <c r="R14" s="38"/>
      <c r="S14" s="3"/>
    </row>
    <row r="15" spans="1:19" ht="25" customHeight="1" x14ac:dyDescent="0.3">
      <c r="A15" s="3"/>
      <c r="B15" s="3" t="s">
        <v>276</v>
      </c>
      <c r="C15" s="3" t="s">
        <v>277</v>
      </c>
      <c r="D15" s="3" t="s">
        <v>267</v>
      </c>
      <c r="E15" s="3">
        <v>26</v>
      </c>
      <c r="F15" s="3" t="s">
        <v>35</v>
      </c>
      <c r="G15" s="3" t="s">
        <v>24</v>
      </c>
      <c r="H15" s="3"/>
      <c r="I15" s="3"/>
      <c r="J15" s="21"/>
      <c r="K15" s="3" t="s">
        <v>30</v>
      </c>
      <c r="L15" s="3">
        <v>72854302</v>
      </c>
      <c r="M15" s="20">
        <v>2600</v>
      </c>
      <c r="O15" s="3"/>
      <c r="P15" s="3">
        <v>1</v>
      </c>
      <c r="Q15" s="3"/>
      <c r="R15" s="38"/>
      <c r="S15" s="3"/>
    </row>
    <row r="16" spans="1:19" ht="25" customHeight="1" x14ac:dyDescent="0.3">
      <c r="A16" s="3"/>
      <c r="B16" s="3" t="s">
        <v>278</v>
      </c>
      <c r="C16" s="3" t="s">
        <v>279</v>
      </c>
      <c r="D16" s="3" t="s">
        <v>280</v>
      </c>
      <c r="E16" s="3">
        <v>31</v>
      </c>
      <c r="F16" s="3" t="s">
        <v>35</v>
      </c>
      <c r="G16" s="3" t="s">
        <v>24</v>
      </c>
      <c r="H16" s="3"/>
      <c r="I16" s="3"/>
      <c r="J16" s="21"/>
      <c r="K16" s="3" t="s">
        <v>30</v>
      </c>
      <c r="L16" s="3">
        <v>72854302</v>
      </c>
      <c r="M16" s="20">
        <v>2600</v>
      </c>
      <c r="O16" s="3"/>
      <c r="P16" s="3">
        <v>1</v>
      </c>
      <c r="Q16" s="3"/>
      <c r="R16" s="38"/>
      <c r="S16" s="3"/>
    </row>
    <row r="17" spans="1:19" ht="25" customHeight="1" x14ac:dyDescent="0.3">
      <c r="A17" s="3"/>
      <c r="B17" s="3" t="s">
        <v>281</v>
      </c>
      <c r="C17" s="3" t="s">
        <v>282</v>
      </c>
      <c r="D17" s="3" t="s">
        <v>283</v>
      </c>
      <c r="E17" s="3">
        <v>30</v>
      </c>
      <c r="F17" s="3" t="s">
        <v>35</v>
      </c>
      <c r="G17" s="3" t="s">
        <v>64</v>
      </c>
      <c r="H17" s="3"/>
      <c r="I17" s="3"/>
      <c r="J17" s="21"/>
      <c r="K17" s="3" t="s">
        <v>30</v>
      </c>
      <c r="L17" s="3">
        <v>72854302</v>
      </c>
      <c r="M17" s="20">
        <v>2600</v>
      </c>
      <c r="O17" s="3"/>
      <c r="P17" s="3"/>
      <c r="Q17" s="3"/>
      <c r="R17" s="38">
        <v>1</v>
      </c>
      <c r="S17" s="3"/>
    </row>
    <row r="18" spans="1:19" ht="25" customHeight="1" x14ac:dyDescent="0.3">
      <c r="A18" s="3"/>
      <c r="B18" s="3" t="s">
        <v>284</v>
      </c>
      <c r="C18" s="3" t="s">
        <v>285</v>
      </c>
      <c r="D18" s="3" t="s">
        <v>266</v>
      </c>
      <c r="E18" s="3">
        <v>28</v>
      </c>
      <c r="F18" s="3" t="s">
        <v>35</v>
      </c>
      <c r="G18" s="3" t="s">
        <v>64</v>
      </c>
      <c r="H18" s="3"/>
      <c r="I18" s="3"/>
      <c r="J18" s="21"/>
      <c r="K18" s="3" t="s">
        <v>30</v>
      </c>
      <c r="L18" s="3">
        <v>72854302</v>
      </c>
      <c r="M18" s="20">
        <v>2600</v>
      </c>
      <c r="O18" s="3"/>
      <c r="P18" s="3"/>
      <c r="Q18" s="3"/>
      <c r="R18" s="38">
        <v>1</v>
      </c>
      <c r="S18" s="3"/>
    </row>
    <row r="19" spans="1:19" ht="25" customHeight="1" x14ac:dyDescent="0.3">
      <c r="A19" s="3"/>
      <c r="B19" s="3" t="s">
        <v>286</v>
      </c>
      <c r="C19" s="3" t="s">
        <v>287</v>
      </c>
      <c r="D19" s="3" t="s">
        <v>288</v>
      </c>
      <c r="E19" s="3">
        <v>28</v>
      </c>
      <c r="F19" s="3" t="s">
        <v>35</v>
      </c>
      <c r="G19" s="3" t="s">
        <v>65</v>
      </c>
      <c r="H19" s="3"/>
      <c r="I19" s="3"/>
      <c r="J19" s="21"/>
      <c r="K19" s="3" t="s">
        <v>30</v>
      </c>
      <c r="L19" s="3">
        <v>72854302</v>
      </c>
      <c r="M19" s="20">
        <v>2600</v>
      </c>
      <c r="O19" s="3"/>
      <c r="P19" s="3"/>
      <c r="Q19" s="3"/>
      <c r="R19" s="38"/>
      <c r="S19" s="3">
        <v>1</v>
      </c>
    </row>
    <row r="20" spans="1:19" ht="25" customHeight="1" x14ac:dyDescent="0.3">
      <c r="A20" s="3"/>
      <c r="B20" s="3" t="s">
        <v>289</v>
      </c>
      <c r="C20" s="3" t="s">
        <v>290</v>
      </c>
      <c r="D20" s="3" t="s">
        <v>291</v>
      </c>
      <c r="E20" s="3">
        <v>30</v>
      </c>
      <c r="F20" s="3" t="s">
        <v>35</v>
      </c>
      <c r="G20" s="3" t="s">
        <v>36</v>
      </c>
      <c r="H20" s="3"/>
      <c r="I20" s="3"/>
      <c r="J20" s="21"/>
      <c r="K20" s="3" t="s">
        <v>30</v>
      </c>
      <c r="L20" s="3">
        <v>72854302</v>
      </c>
      <c r="M20" s="20">
        <v>2600</v>
      </c>
      <c r="O20" s="3"/>
      <c r="P20" s="3"/>
      <c r="Q20" s="3">
        <v>1</v>
      </c>
      <c r="R20" s="38"/>
      <c r="S20" s="3"/>
    </row>
    <row r="21" spans="1:19" ht="25" customHeight="1" x14ac:dyDescent="0.3">
      <c r="A21" s="3"/>
      <c r="B21" s="3" t="s">
        <v>292</v>
      </c>
      <c r="C21" s="3" t="s">
        <v>293</v>
      </c>
      <c r="D21" s="3" t="s">
        <v>294</v>
      </c>
      <c r="E21" s="3">
        <v>29</v>
      </c>
      <c r="F21" s="3" t="s">
        <v>35</v>
      </c>
      <c r="G21" s="3" t="s">
        <v>36</v>
      </c>
      <c r="H21" s="3"/>
      <c r="I21" s="3"/>
      <c r="J21" s="21"/>
      <c r="K21" s="3" t="s">
        <v>30</v>
      </c>
      <c r="L21" s="6">
        <v>65315723</v>
      </c>
      <c r="M21" s="20">
        <v>600</v>
      </c>
      <c r="O21" s="3"/>
      <c r="P21" s="3"/>
      <c r="Q21" s="3">
        <v>1</v>
      </c>
      <c r="R21" s="38"/>
      <c r="S21" s="3"/>
    </row>
    <row r="22" spans="1:19" ht="25" customHeight="1" x14ac:dyDescent="0.3">
      <c r="A22" s="3"/>
      <c r="B22" s="3" t="s">
        <v>295</v>
      </c>
      <c r="C22" s="3" t="s">
        <v>296</v>
      </c>
      <c r="D22" s="3" t="s">
        <v>297</v>
      </c>
      <c r="E22" s="3">
        <v>33</v>
      </c>
      <c r="F22" s="3" t="s">
        <v>35</v>
      </c>
      <c r="G22" s="3" t="s">
        <v>36</v>
      </c>
      <c r="H22" s="3"/>
      <c r="I22" s="3"/>
      <c r="J22" s="21"/>
      <c r="K22" s="3" t="s">
        <v>249</v>
      </c>
      <c r="L22" s="6" t="s">
        <v>298</v>
      </c>
      <c r="M22" s="20">
        <v>200</v>
      </c>
      <c r="O22" s="3"/>
      <c r="P22" s="3"/>
      <c r="Q22" s="3">
        <v>1</v>
      </c>
      <c r="R22" s="38"/>
      <c r="S22" s="3"/>
    </row>
    <row r="23" spans="1:19" ht="28" x14ac:dyDescent="0.3">
      <c r="A23" s="3"/>
      <c r="B23" s="3" t="s">
        <v>305</v>
      </c>
      <c r="C23" s="3" t="s">
        <v>306</v>
      </c>
      <c r="D23" s="3" t="s">
        <v>306</v>
      </c>
      <c r="E23" s="3">
        <v>31</v>
      </c>
      <c r="F23" s="3" t="s">
        <v>35</v>
      </c>
      <c r="G23" s="3" t="s">
        <v>36</v>
      </c>
      <c r="H23" s="3"/>
      <c r="I23" s="3"/>
      <c r="J23" s="23" t="s">
        <v>315</v>
      </c>
      <c r="K23" s="3" t="s">
        <v>48</v>
      </c>
      <c r="L23" s="6">
        <v>180910240988</v>
      </c>
      <c r="M23" s="20">
        <v>200</v>
      </c>
      <c r="O23" s="3"/>
      <c r="P23" s="3"/>
      <c r="Q23" s="3">
        <v>1</v>
      </c>
      <c r="R23" s="3"/>
      <c r="S23" s="3"/>
    </row>
    <row r="24" spans="1:19" ht="15.5" x14ac:dyDescent="0.3">
      <c r="A24" s="3"/>
      <c r="B24" s="3" t="s">
        <v>317</v>
      </c>
      <c r="C24" s="3" t="s">
        <v>318</v>
      </c>
      <c r="D24" s="3" t="s">
        <v>126</v>
      </c>
      <c r="E24" s="3">
        <v>27</v>
      </c>
      <c r="F24" s="3" t="s">
        <v>35</v>
      </c>
      <c r="G24" s="3" t="s">
        <v>24</v>
      </c>
      <c r="H24" s="3"/>
      <c r="I24" s="3"/>
      <c r="J24" s="23"/>
      <c r="K24" s="3"/>
      <c r="L24" s="6"/>
      <c r="M24" s="20"/>
      <c r="O24" s="3"/>
      <c r="P24" s="3">
        <v>1</v>
      </c>
      <c r="Q24" s="3"/>
      <c r="R24" s="3"/>
      <c r="S24" s="3"/>
    </row>
    <row r="25" spans="1:19" ht="15.5" x14ac:dyDescent="0.3">
      <c r="A25" s="3"/>
      <c r="B25" s="3" t="s">
        <v>367</v>
      </c>
      <c r="C25" s="3" t="s">
        <v>368</v>
      </c>
      <c r="D25" s="3" t="s">
        <v>369</v>
      </c>
      <c r="E25" s="3">
        <v>29</v>
      </c>
      <c r="F25" s="3" t="s">
        <v>35</v>
      </c>
      <c r="G25" s="3" t="s">
        <v>24</v>
      </c>
      <c r="H25" s="3"/>
      <c r="I25" s="3"/>
      <c r="J25" s="23" t="s">
        <v>370</v>
      </c>
      <c r="K25" s="3" t="s">
        <v>30</v>
      </c>
      <c r="L25" s="6">
        <v>54171516</v>
      </c>
      <c r="M25" s="20">
        <v>200</v>
      </c>
      <c r="O25" s="3"/>
      <c r="P25" s="3">
        <v>1</v>
      </c>
      <c r="Q25" s="3"/>
      <c r="R25" s="3"/>
      <c r="S25" s="3"/>
    </row>
    <row r="26" spans="1:19" ht="28" x14ac:dyDescent="0.3">
      <c r="A26" s="3"/>
      <c r="B26" s="3" t="s">
        <v>385</v>
      </c>
      <c r="C26" s="3" t="s">
        <v>386</v>
      </c>
      <c r="D26" s="3" t="s">
        <v>387</v>
      </c>
      <c r="E26" s="3">
        <v>28</v>
      </c>
      <c r="F26" s="3" t="s">
        <v>35</v>
      </c>
      <c r="G26" s="3" t="s">
        <v>24</v>
      </c>
      <c r="H26" s="3"/>
      <c r="I26" s="3"/>
      <c r="J26" s="23" t="s">
        <v>388</v>
      </c>
      <c r="K26" s="3" t="s">
        <v>30</v>
      </c>
      <c r="L26" s="6">
        <v>89279857</v>
      </c>
      <c r="M26" s="20">
        <v>200</v>
      </c>
      <c r="O26" s="3"/>
      <c r="P26" s="3">
        <v>1</v>
      </c>
      <c r="Q26" s="3"/>
      <c r="R26" s="3"/>
      <c r="S26" s="3"/>
    </row>
    <row r="27" spans="1:19" ht="15.5" x14ac:dyDescent="0.3">
      <c r="A27" s="3"/>
      <c r="B27" s="3" t="s">
        <v>394</v>
      </c>
      <c r="C27" s="3" t="s">
        <v>395</v>
      </c>
      <c r="D27" s="3" t="s">
        <v>396</v>
      </c>
      <c r="E27" s="3">
        <v>25</v>
      </c>
      <c r="F27" s="3" t="s">
        <v>35</v>
      </c>
      <c r="G27" s="3" t="s">
        <v>29</v>
      </c>
      <c r="H27" s="3"/>
      <c r="I27" s="3"/>
      <c r="J27" s="23" t="s">
        <v>393</v>
      </c>
      <c r="K27" s="3" t="s">
        <v>249</v>
      </c>
      <c r="L27" s="6" t="s">
        <v>397</v>
      </c>
      <c r="M27" s="20">
        <v>200</v>
      </c>
      <c r="O27" s="3">
        <v>1</v>
      </c>
      <c r="P27" s="3"/>
      <c r="Q27" s="3"/>
      <c r="R27" s="3"/>
      <c r="S27" s="3"/>
    </row>
    <row r="28" spans="1:19" ht="42" x14ac:dyDescent="0.3">
      <c r="A28" s="3"/>
      <c r="B28" s="3" t="s">
        <v>455</v>
      </c>
      <c r="C28" s="3" t="s">
        <v>111</v>
      </c>
      <c r="D28" s="3" t="s">
        <v>339</v>
      </c>
      <c r="E28" s="3">
        <v>29</v>
      </c>
      <c r="F28" s="3" t="s">
        <v>35</v>
      </c>
      <c r="G28" s="3" t="s">
        <v>24</v>
      </c>
      <c r="H28" s="3"/>
      <c r="I28" s="3"/>
      <c r="J28" s="23" t="s">
        <v>453</v>
      </c>
      <c r="K28" s="3" t="s">
        <v>447</v>
      </c>
      <c r="L28" s="6" t="s">
        <v>454</v>
      </c>
      <c r="M28" s="20">
        <v>200</v>
      </c>
      <c r="O28" s="3"/>
      <c r="P28" s="3">
        <v>1</v>
      </c>
      <c r="Q28" s="3"/>
      <c r="R28" s="3"/>
      <c r="S28" s="3"/>
    </row>
    <row r="29" spans="1:19" ht="28" x14ac:dyDescent="0.3">
      <c r="A29" s="3"/>
      <c r="B29" s="3" t="s">
        <v>556</v>
      </c>
      <c r="C29" s="3" t="s">
        <v>555</v>
      </c>
      <c r="D29" s="3" t="s">
        <v>553</v>
      </c>
      <c r="E29" s="3">
        <v>27</v>
      </c>
      <c r="F29" s="3" t="s">
        <v>35</v>
      </c>
      <c r="G29" s="3" t="s">
        <v>64</v>
      </c>
      <c r="H29" s="3"/>
      <c r="I29" s="3"/>
      <c r="J29" s="23" t="s">
        <v>491</v>
      </c>
      <c r="K29" s="3"/>
      <c r="L29" s="6"/>
      <c r="M29" s="20"/>
      <c r="O29" s="3"/>
      <c r="P29" s="3"/>
      <c r="Q29" s="3"/>
      <c r="R29" s="3">
        <v>1</v>
      </c>
      <c r="S29" s="3"/>
    </row>
    <row r="30" spans="1:19" ht="28" x14ac:dyDescent="0.3">
      <c r="A30" s="3"/>
      <c r="B30" s="3" t="s">
        <v>557</v>
      </c>
      <c r="C30" s="3" t="s">
        <v>433</v>
      </c>
      <c r="D30" s="3" t="s">
        <v>554</v>
      </c>
      <c r="E30" s="3">
        <v>29</v>
      </c>
      <c r="F30" s="3" t="s">
        <v>35</v>
      </c>
      <c r="G30" s="3" t="s">
        <v>64</v>
      </c>
      <c r="H30" s="3"/>
      <c r="I30" s="3"/>
      <c r="J30" s="23" t="s">
        <v>491</v>
      </c>
      <c r="K30" s="3"/>
      <c r="L30" s="6"/>
      <c r="M30" s="20"/>
      <c r="O30" s="3"/>
      <c r="P30" s="3"/>
      <c r="Q30" s="3"/>
      <c r="R30" s="3">
        <v>1</v>
      </c>
      <c r="S30" s="3"/>
    </row>
    <row r="31" spans="1:19" ht="30" customHeight="1" x14ac:dyDescent="0.3">
      <c r="A31" s="3"/>
      <c r="B31" s="3" t="s">
        <v>520</v>
      </c>
      <c r="C31" s="3" t="s">
        <v>521</v>
      </c>
      <c r="D31" s="3" t="s">
        <v>522</v>
      </c>
      <c r="E31" s="3">
        <v>28</v>
      </c>
      <c r="F31" s="3" t="s">
        <v>35</v>
      </c>
      <c r="G31" s="3" t="s">
        <v>24</v>
      </c>
      <c r="H31" s="3"/>
      <c r="I31" s="3"/>
      <c r="J31" s="23" t="s">
        <v>523</v>
      </c>
      <c r="K31" s="3"/>
      <c r="L31" s="6"/>
      <c r="M31" s="20"/>
      <c r="O31" s="3"/>
      <c r="P31" s="3">
        <v>1</v>
      </c>
      <c r="Q31" s="3"/>
      <c r="R31" s="3"/>
      <c r="S31" s="3"/>
    </row>
    <row r="32" spans="1:19" ht="56" x14ac:dyDescent="0.3">
      <c r="A32" s="3"/>
      <c r="B32" s="3" t="s">
        <v>525</v>
      </c>
      <c r="C32" s="3"/>
      <c r="D32" s="3"/>
      <c r="E32" s="3">
        <v>31</v>
      </c>
      <c r="F32" s="3" t="s">
        <v>35</v>
      </c>
      <c r="G32" s="3" t="s">
        <v>24</v>
      </c>
      <c r="H32" s="3"/>
      <c r="I32" s="3"/>
      <c r="J32" s="23" t="s">
        <v>526</v>
      </c>
      <c r="K32" s="3"/>
      <c r="L32" s="6"/>
      <c r="M32" s="20"/>
      <c r="O32" s="3"/>
      <c r="P32" s="3">
        <v>1</v>
      </c>
      <c r="Q32" s="3"/>
      <c r="R32" s="3"/>
      <c r="S32" s="3"/>
    </row>
    <row r="33" spans="1:19" ht="15.5" x14ac:dyDescent="0.3">
      <c r="A33" s="3"/>
      <c r="B33" s="3" t="s">
        <v>550</v>
      </c>
      <c r="C33" s="3" t="s">
        <v>551</v>
      </c>
      <c r="D33" s="3" t="s">
        <v>552</v>
      </c>
      <c r="E33" s="3">
        <v>27</v>
      </c>
      <c r="F33" s="3" t="s">
        <v>35</v>
      </c>
      <c r="G33" s="3" t="s">
        <v>24</v>
      </c>
      <c r="H33" s="3"/>
      <c r="I33" s="3"/>
      <c r="J33" s="23"/>
      <c r="K33" s="3"/>
      <c r="L33" s="6"/>
      <c r="M33" s="20"/>
      <c r="O33" s="3"/>
      <c r="P33" s="3">
        <v>1</v>
      </c>
      <c r="Q33" s="3"/>
      <c r="R33" s="3"/>
      <c r="S33" s="3"/>
    </row>
    <row r="34" spans="1:19" ht="56" x14ac:dyDescent="0.3">
      <c r="A34" s="3"/>
      <c r="B34" s="3" t="s">
        <v>532</v>
      </c>
      <c r="C34" s="3" t="s">
        <v>464</v>
      </c>
      <c r="D34" s="3" t="s">
        <v>533</v>
      </c>
      <c r="E34" s="3">
        <v>35</v>
      </c>
      <c r="F34" s="3" t="s">
        <v>35</v>
      </c>
      <c r="G34" s="3" t="s">
        <v>24</v>
      </c>
      <c r="H34" s="3"/>
      <c r="I34" s="3"/>
      <c r="J34" s="23" t="s">
        <v>526</v>
      </c>
      <c r="K34" s="3"/>
      <c r="L34" s="6"/>
      <c r="M34" s="20"/>
      <c r="O34" s="3"/>
      <c r="P34" s="3">
        <v>1</v>
      </c>
      <c r="Q34" s="3"/>
      <c r="R34" s="3"/>
      <c r="S34" s="3"/>
    </row>
    <row r="35" spans="1:19" ht="15.5" x14ac:dyDescent="0.3">
      <c r="A35" s="3"/>
      <c r="B35" s="3" t="s">
        <v>542</v>
      </c>
      <c r="C35" s="3" t="s">
        <v>543</v>
      </c>
      <c r="D35" s="3" t="s">
        <v>544</v>
      </c>
      <c r="E35" s="3">
        <v>31</v>
      </c>
      <c r="F35" s="3" t="s">
        <v>35</v>
      </c>
      <c r="G35" s="3" t="s">
        <v>24</v>
      </c>
      <c r="H35" s="3"/>
      <c r="I35" s="3"/>
      <c r="J35" s="23" t="s">
        <v>545</v>
      </c>
      <c r="K35" s="3"/>
      <c r="L35" s="6"/>
      <c r="M35" s="20"/>
      <c r="O35" s="3"/>
      <c r="P35" s="3">
        <v>1</v>
      </c>
      <c r="Q35" s="3"/>
      <c r="R35" s="3"/>
      <c r="S35" s="3"/>
    </row>
    <row r="36" spans="1:19" ht="15.5" x14ac:dyDescent="0.3">
      <c r="A36" s="3"/>
      <c r="B36" s="3" t="s">
        <v>573</v>
      </c>
      <c r="C36" s="3" t="s">
        <v>122</v>
      </c>
      <c r="D36" s="3" t="s">
        <v>574</v>
      </c>
      <c r="E36" s="3">
        <v>21</v>
      </c>
      <c r="F36" s="3" t="s">
        <v>35</v>
      </c>
      <c r="G36" s="3" t="s">
        <v>24</v>
      </c>
      <c r="H36" s="3"/>
      <c r="I36" s="3"/>
      <c r="J36" s="23" t="s">
        <v>571</v>
      </c>
      <c r="K36" s="3" t="s">
        <v>30</v>
      </c>
      <c r="L36" s="6">
        <v>14476247</v>
      </c>
      <c r="M36" s="20">
        <v>200</v>
      </c>
      <c r="O36" s="3"/>
      <c r="P36" s="3">
        <v>1</v>
      </c>
      <c r="Q36" s="3"/>
      <c r="R36" s="3"/>
      <c r="S36" s="3"/>
    </row>
    <row r="37" spans="1:19" ht="15.5" x14ac:dyDescent="0.3">
      <c r="A37" s="3"/>
      <c r="B37" s="3" t="s">
        <v>642</v>
      </c>
      <c r="C37" s="3" t="s">
        <v>643</v>
      </c>
      <c r="D37" s="3" t="s">
        <v>195</v>
      </c>
      <c r="E37" s="3">
        <v>27</v>
      </c>
      <c r="F37" s="3" t="s">
        <v>35</v>
      </c>
      <c r="G37" s="3" t="s">
        <v>36</v>
      </c>
      <c r="H37" s="3"/>
      <c r="I37" s="3"/>
      <c r="J37" s="23" t="s">
        <v>628</v>
      </c>
      <c r="K37" s="3" t="s">
        <v>67</v>
      </c>
      <c r="L37" s="6">
        <v>8.5901828520327104E+16</v>
      </c>
      <c r="M37" s="20">
        <v>200</v>
      </c>
      <c r="O37" s="3"/>
      <c r="P37" s="3"/>
      <c r="Q37" s="3">
        <v>1</v>
      </c>
      <c r="R37" s="3"/>
      <c r="S37" s="3"/>
    </row>
    <row r="38" spans="1:19" ht="15.5" x14ac:dyDescent="0.3">
      <c r="A38" s="3"/>
      <c r="B38" s="3" t="s">
        <v>646</v>
      </c>
      <c r="C38" s="3" t="s">
        <v>111</v>
      </c>
      <c r="D38" s="3" t="s">
        <v>647</v>
      </c>
      <c r="E38" s="3">
        <v>25</v>
      </c>
      <c r="F38" s="3" t="s">
        <v>35</v>
      </c>
      <c r="G38" s="3" t="s">
        <v>36</v>
      </c>
      <c r="H38" s="3"/>
      <c r="I38" s="3"/>
      <c r="J38" s="23" t="s">
        <v>648</v>
      </c>
      <c r="K38" s="3" t="s">
        <v>48</v>
      </c>
      <c r="L38" s="6">
        <v>180383770997</v>
      </c>
      <c r="M38" s="20">
        <v>200</v>
      </c>
      <c r="O38" s="3"/>
      <c r="P38" s="3"/>
      <c r="Q38" s="3">
        <v>1</v>
      </c>
      <c r="R38" s="3"/>
      <c r="S38" s="3"/>
    </row>
    <row r="39" spans="1:19" ht="15.5" x14ac:dyDescent="0.3">
      <c r="A39" s="3"/>
      <c r="B39" s="3" t="s">
        <v>759</v>
      </c>
      <c r="C39" s="3" t="s">
        <v>558</v>
      </c>
      <c r="D39" s="3" t="s">
        <v>760</v>
      </c>
      <c r="E39" s="3">
        <v>25</v>
      </c>
      <c r="F39" s="3" t="s">
        <v>35</v>
      </c>
      <c r="G39" s="3" t="s">
        <v>29</v>
      </c>
      <c r="H39" s="3"/>
      <c r="I39" s="3"/>
      <c r="J39" s="3" t="s">
        <v>691</v>
      </c>
      <c r="K39" s="3"/>
      <c r="L39" s="6"/>
      <c r="M39" s="20"/>
      <c r="O39" s="3">
        <v>1</v>
      </c>
      <c r="P39" s="3"/>
      <c r="Q39" s="3"/>
      <c r="R39" s="3"/>
      <c r="S39" s="3"/>
    </row>
    <row r="40" spans="1:19" ht="15.5" x14ac:dyDescent="0.3">
      <c r="A40" s="3"/>
      <c r="B40" s="3" t="s">
        <v>761</v>
      </c>
      <c r="C40" s="3" t="s">
        <v>762</v>
      </c>
      <c r="D40" s="3" t="s">
        <v>763</v>
      </c>
      <c r="E40" s="3">
        <v>31</v>
      </c>
      <c r="F40" s="3" t="s">
        <v>35</v>
      </c>
      <c r="G40" s="3" t="s">
        <v>24</v>
      </c>
      <c r="H40" s="3"/>
      <c r="I40" s="3"/>
      <c r="J40" s="3" t="s">
        <v>691</v>
      </c>
      <c r="K40" s="3"/>
      <c r="L40" s="6"/>
      <c r="M40" s="20"/>
      <c r="O40" s="3"/>
      <c r="P40" s="3">
        <v>1</v>
      </c>
      <c r="Q40" s="3"/>
      <c r="R40" s="3"/>
      <c r="S40" s="3"/>
    </row>
    <row r="41" spans="1:19" ht="15.5" x14ac:dyDescent="0.3">
      <c r="A41" s="3"/>
      <c r="B41" s="3" t="s">
        <v>398</v>
      </c>
      <c r="C41" s="3" t="s">
        <v>146</v>
      </c>
      <c r="D41" s="3" t="s">
        <v>558</v>
      </c>
      <c r="E41" s="3">
        <v>29</v>
      </c>
      <c r="F41" s="3" t="s">
        <v>35</v>
      </c>
      <c r="G41" s="3" t="s">
        <v>36</v>
      </c>
      <c r="H41" s="3"/>
      <c r="I41" s="3"/>
      <c r="J41" s="3" t="s">
        <v>691</v>
      </c>
      <c r="K41" s="3"/>
      <c r="L41" s="6"/>
      <c r="M41" s="20"/>
      <c r="O41" s="3"/>
      <c r="P41" s="3"/>
      <c r="Q41" s="3">
        <v>1</v>
      </c>
      <c r="R41" s="3"/>
      <c r="S41" s="3"/>
    </row>
    <row r="42" spans="1:19" ht="15.5" x14ac:dyDescent="0.3">
      <c r="A42" s="3"/>
      <c r="B42" s="3" t="s">
        <v>764</v>
      </c>
      <c r="C42" s="3" t="s">
        <v>109</v>
      </c>
      <c r="D42" s="3" t="s">
        <v>154</v>
      </c>
      <c r="E42" s="3">
        <v>25</v>
      </c>
      <c r="F42" s="3" t="s">
        <v>35</v>
      </c>
      <c r="G42" s="3" t="s">
        <v>36</v>
      </c>
      <c r="H42" s="3"/>
      <c r="I42" s="3"/>
      <c r="J42" s="3" t="s">
        <v>691</v>
      </c>
      <c r="K42" s="3"/>
      <c r="L42" s="6"/>
      <c r="M42" s="20"/>
      <c r="O42" s="3"/>
      <c r="P42" s="3"/>
      <c r="Q42" s="3">
        <v>1</v>
      </c>
      <c r="R42" s="3"/>
      <c r="S42" s="3"/>
    </row>
    <row r="43" spans="1:19" ht="15.5" x14ac:dyDescent="0.3">
      <c r="A43" s="3"/>
      <c r="B43" s="3" t="s">
        <v>158</v>
      </c>
      <c r="C43" s="3" t="s">
        <v>765</v>
      </c>
      <c r="D43" s="3" t="s">
        <v>375</v>
      </c>
      <c r="E43" s="3">
        <v>26</v>
      </c>
      <c r="F43" s="3" t="s">
        <v>35</v>
      </c>
      <c r="G43" s="3" t="s">
        <v>64</v>
      </c>
      <c r="H43" s="3"/>
      <c r="I43" s="3"/>
      <c r="J43" s="3" t="s">
        <v>691</v>
      </c>
      <c r="K43" s="3"/>
      <c r="L43" s="6"/>
      <c r="M43" s="20"/>
      <c r="O43" s="3"/>
      <c r="P43" s="3"/>
      <c r="Q43" s="3"/>
      <c r="R43" s="3">
        <v>1</v>
      </c>
      <c r="S43" s="3"/>
    </row>
    <row r="44" spans="1:19" ht="15.5" x14ac:dyDescent="0.3">
      <c r="A44" s="3"/>
      <c r="B44" s="3" t="s">
        <v>766</v>
      </c>
      <c r="C44" s="3" t="s">
        <v>767</v>
      </c>
      <c r="D44" s="3" t="s">
        <v>768</v>
      </c>
      <c r="E44" s="3">
        <v>28</v>
      </c>
      <c r="F44" s="3" t="s">
        <v>35</v>
      </c>
      <c r="G44" s="3" t="s">
        <v>24</v>
      </c>
      <c r="H44" s="3"/>
      <c r="I44" s="3"/>
      <c r="J44" s="3" t="s">
        <v>769</v>
      </c>
      <c r="K44" s="3"/>
      <c r="L44" s="6"/>
      <c r="M44" s="20"/>
      <c r="O44" s="3"/>
      <c r="P44" s="3">
        <v>1</v>
      </c>
      <c r="Q44" s="3"/>
      <c r="R44" s="3"/>
      <c r="S44" s="3"/>
    </row>
    <row r="45" spans="1:19" ht="15.5" x14ac:dyDescent="0.3">
      <c r="A45" s="3"/>
      <c r="B45" s="3" t="s">
        <v>995</v>
      </c>
      <c r="C45" s="3" t="s">
        <v>993</v>
      </c>
      <c r="D45" s="3" t="s">
        <v>994</v>
      </c>
      <c r="E45" s="3">
        <v>32</v>
      </c>
      <c r="F45" s="3" t="s">
        <v>35</v>
      </c>
      <c r="G45" s="3" t="s">
        <v>24</v>
      </c>
      <c r="H45" s="3"/>
      <c r="I45" s="3"/>
      <c r="J45" s="3" t="s">
        <v>996</v>
      </c>
      <c r="K45" s="7"/>
      <c r="L45" s="6"/>
      <c r="M45" s="20"/>
      <c r="O45" s="3"/>
      <c r="P45" s="3">
        <v>1</v>
      </c>
      <c r="Q45" s="3"/>
      <c r="R45" s="3"/>
      <c r="S45" s="3"/>
    </row>
    <row r="46" spans="1:19" ht="15.5" x14ac:dyDescent="0.3">
      <c r="A46" s="3"/>
      <c r="B46" s="3" t="s">
        <v>362</v>
      </c>
      <c r="C46" s="3" t="s">
        <v>771</v>
      </c>
      <c r="D46" s="3" t="s">
        <v>999</v>
      </c>
      <c r="E46" s="3">
        <v>33</v>
      </c>
      <c r="F46" s="3" t="s">
        <v>35</v>
      </c>
      <c r="G46" s="3" t="s">
        <v>24</v>
      </c>
      <c r="H46" s="3"/>
      <c r="I46" s="3"/>
      <c r="J46" s="3" t="s">
        <v>996</v>
      </c>
      <c r="K46" s="7"/>
      <c r="L46" s="6"/>
      <c r="M46" s="20"/>
      <c r="O46" s="3"/>
      <c r="P46" s="3">
        <v>1</v>
      </c>
      <c r="Q46" s="3"/>
      <c r="R46" s="3"/>
      <c r="S46" s="3"/>
    </row>
    <row r="47" spans="1:19" ht="15.5" x14ac:dyDescent="0.3">
      <c r="A47" s="3"/>
      <c r="B47" s="3" t="s">
        <v>1016</v>
      </c>
      <c r="C47" s="3" t="s">
        <v>126</v>
      </c>
      <c r="D47" s="3" t="s">
        <v>195</v>
      </c>
      <c r="E47" s="3">
        <v>34</v>
      </c>
      <c r="F47" s="3" t="s">
        <v>35</v>
      </c>
      <c r="G47" s="3" t="s">
        <v>24</v>
      </c>
      <c r="H47" s="3"/>
      <c r="I47" s="3"/>
      <c r="J47" s="3" t="s">
        <v>996</v>
      </c>
      <c r="K47" s="7"/>
      <c r="L47" s="6"/>
      <c r="M47" s="20"/>
      <c r="O47" s="3"/>
      <c r="P47" s="3">
        <v>1</v>
      </c>
      <c r="Q47" s="3"/>
      <c r="R47" s="3"/>
      <c r="S47" s="3"/>
    </row>
    <row r="48" spans="1:19" ht="15.5" x14ac:dyDescent="0.3">
      <c r="A48" s="3"/>
      <c r="B48" s="3" t="s">
        <v>1023</v>
      </c>
      <c r="C48" s="3" t="s">
        <v>186</v>
      </c>
      <c r="D48" s="3" t="s">
        <v>186</v>
      </c>
      <c r="E48" s="3">
        <v>31</v>
      </c>
      <c r="F48" s="3" t="s">
        <v>35</v>
      </c>
      <c r="G48" s="3" t="s">
        <v>36</v>
      </c>
      <c r="H48" s="3"/>
      <c r="I48" s="3"/>
      <c r="J48" s="3" t="s">
        <v>996</v>
      </c>
      <c r="K48" s="7"/>
      <c r="L48" s="6"/>
      <c r="M48" s="20"/>
      <c r="O48" s="3"/>
      <c r="P48" s="3"/>
      <c r="Q48" s="3">
        <v>1</v>
      </c>
      <c r="R48" s="3"/>
      <c r="S48" s="3"/>
    </row>
    <row r="49" spans="1:19" ht="15.5" x14ac:dyDescent="0.3">
      <c r="A49" s="3"/>
      <c r="B49" s="3" t="s">
        <v>1049</v>
      </c>
      <c r="C49" s="3" t="s">
        <v>958</v>
      </c>
      <c r="D49" s="3" t="s">
        <v>1050</v>
      </c>
      <c r="E49" s="3">
        <v>25</v>
      </c>
      <c r="F49" s="3" t="s">
        <v>35</v>
      </c>
      <c r="G49" s="3" t="s">
        <v>29</v>
      </c>
      <c r="H49" s="3"/>
      <c r="I49" s="3"/>
      <c r="J49" s="3" t="s">
        <v>1051</v>
      </c>
      <c r="K49" s="7"/>
      <c r="L49" s="6"/>
      <c r="M49" s="20"/>
      <c r="O49" s="3">
        <v>1</v>
      </c>
      <c r="P49" s="3"/>
      <c r="Q49" s="3"/>
      <c r="R49" s="3"/>
      <c r="S49" s="3"/>
    </row>
    <row r="50" spans="1:19" ht="15.5" x14ac:dyDescent="0.3">
      <c r="A50" s="3"/>
      <c r="B50" s="3" t="s">
        <v>819</v>
      </c>
      <c r="C50" s="3" t="s">
        <v>820</v>
      </c>
      <c r="D50" s="3" t="s">
        <v>100</v>
      </c>
      <c r="E50" s="3">
        <v>33</v>
      </c>
      <c r="F50" s="3" t="s">
        <v>35</v>
      </c>
      <c r="G50" s="3" t="s">
        <v>24</v>
      </c>
      <c r="H50" s="3"/>
      <c r="I50" s="3"/>
      <c r="J50" s="23" t="s">
        <v>821</v>
      </c>
      <c r="L50" s="6"/>
      <c r="M50" s="20"/>
      <c r="O50" s="3"/>
      <c r="P50" s="3">
        <v>1</v>
      </c>
      <c r="Q50" s="3"/>
      <c r="R50" s="3"/>
      <c r="S50" s="3"/>
    </row>
    <row r="51" spans="1:19" ht="42" x14ac:dyDescent="0.3">
      <c r="A51" s="3"/>
      <c r="B51" s="3" t="s">
        <v>823</v>
      </c>
      <c r="C51" s="3" t="s">
        <v>753</v>
      </c>
      <c r="D51" s="3" t="s">
        <v>824</v>
      </c>
      <c r="E51" s="3">
        <v>28</v>
      </c>
      <c r="F51" s="3" t="s">
        <v>35</v>
      </c>
      <c r="G51" s="3" t="s">
        <v>36</v>
      </c>
      <c r="H51" s="3"/>
      <c r="I51" s="3"/>
      <c r="J51" s="23" t="s">
        <v>825</v>
      </c>
      <c r="K51" s="3"/>
      <c r="L51" s="6"/>
      <c r="M51" s="20"/>
      <c r="O51" s="3"/>
      <c r="P51" s="3"/>
      <c r="Q51" s="3">
        <v>1</v>
      </c>
      <c r="R51" s="3"/>
      <c r="S51" s="3"/>
    </row>
    <row r="52" spans="1:19" ht="28" x14ac:dyDescent="0.3">
      <c r="A52" s="3"/>
      <c r="B52" s="3" t="s">
        <v>826</v>
      </c>
      <c r="C52" s="3" t="s">
        <v>214</v>
      </c>
      <c r="D52" s="3" t="s">
        <v>599</v>
      </c>
      <c r="E52" s="3">
        <v>24</v>
      </c>
      <c r="F52" s="3" t="s">
        <v>35</v>
      </c>
      <c r="G52" s="3" t="s">
        <v>24</v>
      </c>
      <c r="H52" s="3"/>
      <c r="I52" s="3"/>
      <c r="J52" s="23" t="s">
        <v>442</v>
      </c>
      <c r="K52" s="3"/>
      <c r="L52" s="6"/>
      <c r="M52" s="20"/>
      <c r="O52" s="3"/>
      <c r="P52" s="3">
        <v>1</v>
      </c>
      <c r="Q52" s="3"/>
      <c r="R52" s="3"/>
      <c r="S52" s="3"/>
    </row>
    <row r="53" spans="1:19" ht="42" x14ac:dyDescent="0.3">
      <c r="A53" s="3"/>
      <c r="B53" s="3" t="s">
        <v>845</v>
      </c>
      <c r="C53" s="3" t="s">
        <v>100</v>
      </c>
      <c r="D53" s="3" t="s">
        <v>580</v>
      </c>
      <c r="E53" s="3">
        <v>30</v>
      </c>
      <c r="F53" s="3" t="s">
        <v>35</v>
      </c>
      <c r="G53" s="3" t="s">
        <v>24</v>
      </c>
      <c r="H53" s="3"/>
      <c r="I53" s="3"/>
      <c r="J53" s="23" t="s">
        <v>453</v>
      </c>
      <c r="K53" s="3"/>
      <c r="L53" s="6"/>
      <c r="M53" s="20"/>
      <c r="O53" s="3"/>
      <c r="P53" s="3">
        <v>1</v>
      </c>
      <c r="Q53" s="3"/>
      <c r="R53" s="3"/>
      <c r="S53" s="3"/>
    </row>
    <row r="54" spans="1:19" ht="15.5" x14ac:dyDescent="0.3">
      <c r="A54" s="3"/>
      <c r="B54" s="3" t="s">
        <v>862</v>
      </c>
      <c r="C54" s="3" t="s">
        <v>362</v>
      </c>
      <c r="D54" s="3" t="s">
        <v>863</v>
      </c>
      <c r="E54" s="3">
        <v>26</v>
      </c>
      <c r="F54" s="3" t="s">
        <v>35</v>
      </c>
      <c r="G54" s="3" t="s">
        <v>24</v>
      </c>
      <c r="H54" s="3"/>
      <c r="I54" s="3"/>
      <c r="J54" s="23" t="s">
        <v>864</v>
      </c>
      <c r="K54" s="3"/>
      <c r="L54" s="6"/>
      <c r="M54" s="20"/>
      <c r="O54" s="3"/>
      <c r="P54" s="3">
        <v>1</v>
      </c>
      <c r="Q54" s="3"/>
      <c r="R54" s="3"/>
      <c r="S54" s="3"/>
    </row>
    <row r="55" spans="1:19" ht="15.5" x14ac:dyDescent="0.3">
      <c r="A55" s="3"/>
      <c r="B55" s="3" t="s">
        <v>917</v>
      </c>
      <c r="C55" s="3" t="s">
        <v>918</v>
      </c>
      <c r="D55" s="3" t="s">
        <v>919</v>
      </c>
      <c r="E55" s="3">
        <v>29</v>
      </c>
      <c r="F55" s="3" t="s">
        <v>35</v>
      </c>
      <c r="G55" s="3" t="s">
        <v>36</v>
      </c>
      <c r="H55" s="3"/>
      <c r="I55" s="3"/>
      <c r="J55" s="23" t="s">
        <v>920</v>
      </c>
      <c r="K55" s="3"/>
      <c r="L55" s="6"/>
      <c r="M55" s="20"/>
      <c r="O55" s="3"/>
      <c r="P55" s="3"/>
      <c r="Q55" s="3">
        <v>1</v>
      </c>
      <c r="R55" s="3"/>
      <c r="S55" s="3"/>
    </row>
    <row r="56" spans="1:19" ht="15.5" x14ac:dyDescent="0.3">
      <c r="A56" s="3"/>
      <c r="B56" s="3" t="s">
        <v>929</v>
      </c>
      <c r="C56" s="3" t="s">
        <v>154</v>
      </c>
      <c r="D56" s="3" t="s">
        <v>222</v>
      </c>
      <c r="E56" s="3">
        <v>28</v>
      </c>
      <c r="F56" s="3" t="s">
        <v>35</v>
      </c>
      <c r="G56" s="3" t="s">
        <v>36</v>
      </c>
      <c r="H56" s="3"/>
      <c r="I56" s="3"/>
      <c r="J56" s="23" t="s">
        <v>920</v>
      </c>
      <c r="K56" s="3"/>
      <c r="L56" s="6"/>
      <c r="M56" s="20"/>
      <c r="O56" s="3"/>
      <c r="P56" s="3"/>
      <c r="Q56" s="3">
        <v>1</v>
      </c>
      <c r="R56" s="3"/>
      <c r="S56" s="3"/>
    </row>
    <row r="57" spans="1:19" ht="25" customHeight="1" x14ac:dyDescent="0.3">
      <c r="A57" s="3"/>
      <c r="B57" s="3" t="s">
        <v>945</v>
      </c>
      <c r="C57" s="3" t="s">
        <v>685</v>
      </c>
      <c r="D57" s="3" t="s">
        <v>946</v>
      </c>
      <c r="E57" s="3">
        <v>29</v>
      </c>
      <c r="F57" s="3" t="s">
        <v>35</v>
      </c>
      <c r="G57" s="3" t="s">
        <v>24</v>
      </c>
      <c r="H57" s="3"/>
      <c r="I57" s="3"/>
      <c r="J57" s="24" t="s">
        <v>1022</v>
      </c>
      <c r="K57" s="3"/>
      <c r="L57" s="6"/>
      <c r="M57" s="20"/>
      <c r="O57" s="3"/>
      <c r="P57" s="3">
        <v>1</v>
      </c>
      <c r="Q57" s="3"/>
      <c r="R57" s="3"/>
      <c r="S57" s="3"/>
    </row>
    <row r="58" spans="1:19" ht="15.5" x14ac:dyDescent="0.3">
      <c r="A58" s="3"/>
      <c r="B58" s="3" t="s">
        <v>1064</v>
      </c>
      <c r="C58" s="3" t="s">
        <v>1065</v>
      </c>
      <c r="D58" s="3" t="s">
        <v>1066</v>
      </c>
      <c r="E58" s="3">
        <v>29</v>
      </c>
      <c r="F58" s="3"/>
      <c r="G58" s="3" t="s">
        <v>36</v>
      </c>
      <c r="H58" s="3"/>
      <c r="I58" s="3"/>
      <c r="J58" s="23" t="s">
        <v>1067</v>
      </c>
      <c r="K58" s="3"/>
      <c r="L58" s="6"/>
      <c r="M58" s="20"/>
      <c r="O58" s="3"/>
      <c r="P58" s="3"/>
      <c r="Q58" s="3">
        <v>1</v>
      </c>
      <c r="R58" s="3"/>
      <c r="S58" s="3"/>
    </row>
    <row r="59" spans="1:19" ht="42" x14ac:dyDescent="0.3">
      <c r="A59" s="3"/>
      <c r="B59" s="3" t="s">
        <v>929</v>
      </c>
      <c r="C59" s="3" t="s">
        <v>154</v>
      </c>
      <c r="D59" s="3" t="s">
        <v>1068</v>
      </c>
      <c r="E59" s="3">
        <v>28</v>
      </c>
      <c r="F59" s="3"/>
      <c r="G59" s="3" t="s">
        <v>36</v>
      </c>
      <c r="H59" s="3"/>
      <c r="I59" s="3"/>
      <c r="J59" s="23" t="s">
        <v>1069</v>
      </c>
      <c r="K59" s="3"/>
      <c r="L59" s="6"/>
      <c r="M59" s="20"/>
      <c r="O59" s="3"/>
      <c r="P59" s="3"/>
      <c r="Q59" s="3">
        <v>1</v>
      </c>
      <c r="R59" s="3"/>
      <c r="S59" s="3"/>
    </row>
    <row r="60" spans="1:19" ht="28" x14ac:dyDescent="0.3">
      <c r="A60" s="3"/>
      <c r="B60" s="3" t="s">
        <v>607</v>
      </c>
      <c r="C60" s="3" t="s">
        <v>166</v>
      </c>
      <c r="D60" s="3" t="s">
        <v>91</v>
      </c>
      <c r="E60" s="3">
        <v>33</v>
      </c>
      <c r="F60" s="3"/>
      <c r="G60" s="3" t="s">
        <v>24</v>
      </c>
      <c r="H60" s="3"/>
      <c r="I60" s="3"/>
      <c r="J60" s="23" t="s">
        <v>565</v>
      </c>
      <c r="K60" s="3"/>
      <c r="L60" s="6"/>
      <c r="M60" s="20"/>
      <c r="O60" s="3"/>
      <c r="P60" s="3">
        <v>1</v>
      </c>
      <c r="Q60" s="3"/>
      <c r="R60" s="3"/>
      <c r="S60" s="3"/>
    </row>
    <row r="61" spans="1:19" ht="28" x14ac:dyDescent="0.3">
      <c r="A61" s="3"/>
      <c r="B61" s="3" t="s">
        <v>1274</v>
      </c>
      <c r="C61" s="3" t="s">
        <v>143</v>
      </c>
      <c r="D61" s="3" t="s">
        <v>1275</v>
      </c>
      <c r="E61" s="3">
        <v>34</v>
      </c>
      <c r="F61" s="3" t="s">
        <v>35</v>
      </c>
      <c r="G61" s="3" t="s">
        <v>36</v>
      </c>
      <c r="H61" s="3"/>
      <c r="I61" s="3"/>
      <c r="J61" s="25" t="s">
        <v>1196</v>
      </c>
      <c r="K61" s="3"/>
      <c r="L61" s="6"/>
      <c r="M61" s="20"/>
      <c r="O61" s="3"/>
      <c r="P61" s="3"/>
      <c r="Q61" s="3">
        <v>1</v>
      </c>
      <c r="R61" s="3"/>
      <c r="S61" s="3"/>
    </row>
    <row r="62" spans="1:19" ht="28" x14ac:dyDescent="0.3">
      <c r="A62" s="3"/>
      <c r="B62" s="3" t="s">
        <v>1276</v>
      </c>
      <c r="C62" s="3" t="s">
        <v>595</v>
      </c>
      <c r="D62" s="3" t="s">
        <v>1277</v>
      </c>
      <c r="E62" s="3">
        <v>31</v>
      </c>
      <c r="F62" s="3" t="s">
        <v>35</v>
      </c>
      <c r="G62" s="3" t="s">
        <v>36</v>
      </c>
      <c r="H62" s="3"/>
      <c r="I62" s="3"/>
      <c r="J62" s="25" t="s">
        <v>1196</v>
      </c>
      <c r="K62" s="3"/>
      <c r="L62" s="6"/>
      <c r="M62" s="20"/>
      <c r="O62" s="3"/>
      <c r="P62" s="3"/>
      <c r="Q62" s="3">
        <v>1</v>
      </c>
      <c r="R62" s="3"/>
      <c r="S62" s="3"/>
    </row>
    <row r="63" spans="1:19" ht="28" x14ac:dyDescent="0.3">
      <c r="A63" s="3"/>
      <c r="B63" s="3" t="s">
        <v>1278</v>
      </c>
      <c r="C63" s="3" t="s">
        <v>203</v>
      </c>
      <c r="D63" s="3" t="s">
        <v>339</v>
      </c>
      <c r="E63" s="3">
        <v>30</v>
      </c>
      <c r="F63" s="3" t="s">
        <v>35</v>
      </c>
      <c r="G63" s="3" t="s">
        <v>24</v>
      </c>
      <c r="H63" s="3"/>
      <c r="I63" s="3"/>
      <c r="J63" s="25" t="s">
        <v>1196</v>
      </c>
      <c r="K63" s="3"/>
      <c r="L63" s="6"/>
      <c r="M63" s="20"/>
      <c r="O63" s="3"/>
      <c r="P63" s="3">
        <v>1</v>
      </c>
      <c r="Q63" s="3"/>
      <c r="R63" s="3"/>
      <c r="S63" s="3"/>
    </row>
    <row r="64" spans="1:19" ht="28" x14ac:dyDescent="0.3">
      <c r="A64" s="3"/>
      <c r="B64" s="3" t="s">
        <v>1279</v>
      </c>
      <c r="C64" s="3" t="s">
        <v>1280</v>
      </c>
      <c r="D64" s="3" t="s">
        <v>1281</v>
      </c>
      <c r="E64" s="3">
        <v>26</v>
      </c>
      <c r="F64" s="3" t="s">
        <v>35</v>
      </c>
      <c r="G64" s="3" t="s">
        <v>24</v>
      </c>
      <c r="H64" s="3"/>
      <c r="I64" s="3"/>
      <c r="J64" s="25" t="s">
        <v>1196</v>
      </c>
      <c r="K64" s="3"/>
      <c r="L64" s="6"/>
      <c r="M64" s="20"/>
      <c r="O64" s="3"/>
      <c r="P64" s="3">
        <v>1</v>
      </c>
      <c r="Q64" s="3"/>
      <c r="R64" s="3"/>
      <c r="S64" s="3"/>
    </row>
    <row r="65" spans="1:19" ht="28" x14ac:dyDescent="0.3">
      <c r="A65" s="3"/>
      <c r="B65" s="3" t="s">
        <v>1254</v>
      </c>
      <c r="C65" s="3" t="s">
        <v>1282</v>
      </c>
      <c r="D65" s="3" t="s">
        <v>1283</v>
      </c>
      <c r="E65" s="3">
        <v>26</v>
      </c>
      <c r="F65" s="3" t="s">
        <v>35</v>
      </c>
      <c r="G65" s="3" t="s">
        <v>24</v>
      </c>
      <c r="H65" s="3"/>
      <c r="I65" s="3"/>
      <c r="J65" s="25" t="s">
        <v>1196</v>
      </c>
      <c r="K65" s="3"/>
      <c r="L65" s="6"/>
      <c r="M65" s="20"/>
      <c r="O65" s="3"/>
      <c r="P65" s="3">
        <v>1</v>
      </c>
      <c r="Q65" s="3"/>
      <c r="R65" s="3"/>
      <c r="S65" s="3"/>
    </row>
    <row r="66" spans="1:19" ht="28" x14ac:dyDescent="0.3">
      <c r="A66" s="3"/>
      <c r="B66" s="3" t="s">
        <v>1284</v>
      </c>
      <c r="C66" s="3" t="s">
        <v>1188</v>
      </c>
      <c r="D66" s="3" t="s">
        <v>96</v>
      </c>
      <c r="E66" s="3">
        <v>34</v>
      </c>
      <c r="F66" s="3" t="s">
        <v>35</v>
      </c>
      <c r="G66" s="3" t="s">
        <v>1201</v>
      </c>
      <c r="H66" s="3"/>
      <c r="I66" s="3"/>
      <c r="J66" s="25" t="s">
        <v>1196</v>
      </c>
      <c r="K66" s="3"/>
      <c r="L66" s="6"/>
      <c r="M66" s="20"/>
      <c r="O66" s="3"/>
      <c r="P66" s="3"/>
      <c r="Q66" s="3"/>
      <c r="R66" s="3">
        <v>1</v>
      </c>
      <c r="S66" s="3"/>
    </row>
    <row r="67" spans="1:19" ht="28" x14ac:dyDescent="0.3">
      <c r="A67" s="3"/>
      <c r="B67" s="3" t="s">
        <v>1285</v>
      </c>
      <c r="C67" s="3" t="s">
        <v>227</v>
      </c>
      <c r="D67" s="3" t="s">
        <v>1286</v>
      </c>
      <c r="E67" s="3">
        <v>31</v>
      </c>
      <c r="F67" s="3" t="s">
        <v>35</v>
      </c>
      <c r="G67" s="3" t="s">
        <v>36</v>
      </c>
      <c r="H67" s="3"/>
      <c r="I67" s="3"/>
      <c r="J67" s="25" t="s">
        <v>1196</v>
      </c>
      <c r="K67" s="3"/>
      <c r="L67" s="6"/>
      <c r="M67" s="20"/>
      <c r="O67" s="3"/>
      <c r="P67" s="3"/>
      <c r="Q67" s="3">
        <v>1</v>
      </c>
      <c r="R67" s="3"/>
      <c r="S67" s="3"/>
    </row>
    <row r="68" spans="1:19" ht="28" x14ac:dyDescent="0.3">
      <c r="A68" s="3"/>
      <c r="B68" s="3" t="s">
        <v>1287</v>
      </c>
      <c r="C68" s="3" t="s">
        <v>1288</v>
      </c>
      <c r="D68" s="3" t="s">
        <v>137</v>
      </c>
      <c r="E68" s="3">
        <v>35</v>
      </c>
      <c r="F68" s="3" t="s">
        <v>35</v>
      </c>
      <c r="G68" s="3" t="s">
        <v>1201</v>
      </c>
      <c r="H68" s="3"/>
      <c r="I68" s="3"/>
      <c r="J68" s="25" t="s">
        <v>1196</v>
      </c>
      <c r="K68" s="3"/>
      <c r="L68" s="6"/>
      <c r="M68" s="20"/>
      <c r="O68" s="3"/>
      <c r="P68" s="3"/>
      <c r="Q68" s="3"/>
      <c r="R68" s="3">
        <v>1</v>
      </c>
      <c r="S68" s="3"/>
    </row>
    <row r="69" spans="1:19" ht="28" x14ac:dyDescent="0.3">
      <c r="A69" s="3"/>
      <c r="B69" s="3" t="s">
        <v>1289</v>
      </c>
      <c r="C69" s="3" t="s">
        <v>186</v>
      </c>
      <c r="D69" s="3" t="s">
        <v>111</v>
      </c>
      <c r="E69" s="3">
        <v>24</v>
      </c>
      <c r="F69" s="3" t="s">
        <v>35</v>
      </c>
      <c r="G69" s="3" t="s">
        <v>29</v>
      </c>
      <c r="H69" s="3"/>
      <c r="I69" s="3"/>
      <c r="J69" s="25" t="s">
        <v>1196</v>
      </c>
      <c r="K69" s="3"/>
      <c r="L69" s="6"/>
      <c r="M69" s="20"/>
      <c r="O69" s="3">
        <v>1</v>
      </c>
      <c r="P69" s="3"/>
      <c r="Q69" s="3"/>
      <c r="R69" s="3"/>
      <c r="S69" s="3"/>
    </row>
    <row r="70" spans="1:19" ht="28" x14ac:dyDescent="0.3">
      <c r="A70" s="3"/>
      <c r="B70" s="3" t="s">
        <v>1290</v>
      </c>
      <c r="C70" s="3" t="s">
        <v>27</v>
      </c>
      <c r="D70" s="3" t="s">
        <v>91</v>
      </c>
      <c r="E70" s="3">
        <v>32</v>
      </c>
      <c r="F70" s="3" t="s">
        <v>35</v>
      </c>
      <c r="G70" s="3" t="s">
        <v>24</v>
      </c>
      <c r="H70" s="3"/>
      <c r="I70" s="3"/>
      <c r="J70" s="25" t="s">
        <v>1196</v>
      </c>
      <c r="K70" s="3"/>
      <c r="L70" s="6"/>
      <c r="M70" s="20"/>
      <c r="O70" s="3"/>
      <c r="P70" s="3">
        <v>1</v>
      </c>
      <c r="Q70" s="3"/>
      <c r="R70" s="3"/>
      <c r="S70" s="3"/>
    </row>
    <row r="71" spans="1:19" ht="28" x14ac:dyDescent="0.3">
      <c r="A71" s="3"/>
      <c r="B71" s="3" t="s">
        <v>782</v>
      </c>
      <c r="C71" s="3" t="s">
        <v>1184</v>
      </c>
      <c r="D71" s="3" t="s">
        <v>760</v>
      </c>
      <c r="E71" s="3">
        <v>33</v>
      </c>
      <c r="F71" s="3" t="s">
        <v>35</v>
      </c>
      <c r="G71" s="3" t="s">
        <v>24</v>
      </c>
      <c r="H71" s="3"/>
      <c r="I71" s="3"/>
      <c r="J71" s="25" t="s">
        <v>1196</v>
      </c>
      <c r="K71" s="3"/>
      <c r="L71" s="6"/>
      <c r="M71" s="20"/>
      <c r="O71" s="3"/>
      <c r="P71" s="3">
        <v>1</v>
      </c>
      <c r="Q71" s="3"/>
      <c r="R71" s="3"/>
      <c r="S71" s="3"/>
    </row>
    <row r="72" spans="1:19" ht="28" x14ac:dyDescent="0.3">
      <c r="A72" s="3"/>
      <c r="B72" s="3" t="s">
        <v>1291</v>
      </c>
      <c r="C72" s="3" t="s">
        <v>174</v>
      </c>
      <c r="D72" s="3" t="s">
        <v>433</v>
      </c>
      <c r="E72" s="3">
        <v>26</v>
      </c>
      <c r="F72" s="3" t="s">
        <v>35</v>
      </c>
      <c r="G72" s="3" t="s">
        <v>1201</v>
      </c>
      <c r="H72" s="3"/>
      <c r="I72" s="3"/>
      <c r="J72" s="25" t="s">
        <v>1196</v>
      </c>
      <c r="K72" s="3"/>
      <c r="L72" s="6"/>
      <c r="M72" s="20"/>
      <c r="O72" s="3"/>
      <c r="P72" s="3"/>
      <c r="Q72" s="3"/>
      <c r="R72" s="3">
        <v>1</v>
      </c>
      <c r="S72" s="3"/>
    </row>
    <row r="73" spans="1:19" ht="28" x14ac:dyDescent="0.3">
      <c r="A73" s="3"/>
      <c r="B73" s="3" t="s">
        <v>394</v>
      </c>
      <c r="C73" s="3" t="s">
        <v>339</v>
      </c>
      <c r="D73" s="3" t="s">
        <v>43</v>
      </c>
      <c r="E73" s="3">
        <v>25</v>
      </c>
      <c r="F73" s="3" t="s">
        <v>35</v>
      </c>
      <c r="G73" s="3" t="s">
        <v>24</v>
      </c>
      <c r="H73" s="3"/>
      <c r="I73" s="3"/>
      <c r="J73" s="25" t="s">
        <v>1196</v>
      </c>
      <c r="K73" s="3"/>
      <c r="L73" s="6"/>
      <c r="M73" s="20"/>
      <c r="O73" s="3"/>
      <c r="P73" s="3">
        <v>1</v>
      </c>
      <c r="Q73" s="3"/>
      <c r="R73" s="3"/>
      <c r="S73" s="3"/>
    </row>
    <row r="74" spans="1:19" ht="28" x14ac:dyDescent="0.3">
      <c r="A74" s="3"/>
      <c r="B74" s="3" t="s">
        <v>1292</v>
      </c>
      <c r="C74" s="3" t="s">
        <v>199</v>
      </c>
      <c r="D74" s="3" t="s">
        <v>109</v>
      </c>
      <c r="E74" s="3">
        <v>26</v>
      </c>
      <c r="F74" s="3" t="s">
        <v>35</v>
      </c>
      <c r="G74" s="3" t="s">
        <v>36</v>
      </c>
      <c r="H74" s="3"/>
      <c r="I74" s="3"/>
      <c r="J74" s="25" t="s">
        <v>1196</v>
      </c>
      <c r="K74" s="3"/>
      <c r="L74" s="6"/>
      <c r="M74" s="20"/>
      <c r="O74" s="3"/>
      <c r="P74" s="3"/>
      <c r="Q74" s="3">
        <v>1</v>
      </c>
      <c r="R74" s="3"/>
      <c r="S74" s="3"/>
    </row>
    <row r="75" spans="1:19" ht="28" x14ac:dyDescent="0.3">
      <c r="A75" s="3"/>
      <c r="B75" s="3" t="s">
        <v>1293</v>
      </c>
      <c r="C75" s="3" t="s">
        <v>1294</v>
      </c>
      <c r="D75" s="3" t="s">
        <v>377</v>
      </c>
      <c r="E75" s="3">
        <v>30</v>
      </c>
      <c r="F75" s="3" t="s">
        <v>35</v>
      </c>
      <c r="G75" s="3" t="s">
        <v>24</v>
      </c>
      <c r="H75" s="3"/>
      <c r="I75" s="3"/>
      <c r="J75" s="25" t="s">
        <v>1196</v>
      </c>
      <c r="K75" s="3"/>
      <c r="L75" s="6"/>
      <c r="M75" s="20"/>
      <c r="O75" s="3"/>
      <c r="P75" s="3">
        <v>1</v>
      </c>
      <c r="Q75" s="3"/>
      <c r="R75" s="3"/>
      <c r="S75" s="3"/>
    </row>
    <row r="76" spans="1:19" ht="15.5" x14ac:dyDescent="0.3">
      <c r="A76" s="3"/>
      <c r="B76" s="3"/>
      <c r="C76" s="3"/>
      <c r="D76" s="3"/>
      <c r="E76" s="3"/>
      <c r="F76" s="3"/>
      <c r="G76" s="3"/>
      <c r="H76" s="3"/>
      <c r="I76" s="3"/>
      <c r="J76" s="23"/>
      <c r="K76" s="3"/>
      <c r="L76" s="6"/>
      <c r="M76" s="20"/>
      <c r="O76" s="3"/>
      <c r="P76" s="3"/>
      <c r="Q76" s="3"/>
      <c r="R76" s="3"/>
      <c r="S76" s="3"/>
    </row>
    <row r="77" spans="1:19" ht="15.5" x14ac:dyDescent="0.3">
      <c r="A77" s="3"/>
      <c r="B77" s="3" t="s">
        <v>1442</v>
      </c>
      <c r="C77" s="3" t="s">
        <v>1443</v>
      </c>
      <c r="D77" s="3" t="s">
        <v>859</v>
      </c>
      <c r="E77" s="3">
        <v>28</v>
      </c>
      <c r="F77" s="3" t="s">
        <v>35</v>
      </c>
      <c r="G77" s="3" t="s">
        <v>24</v>
      </c>
      <c r="H77" s="3"/>
      <c r="I77" s="3"/>
      <c r="J77" s="24" t="s">
        <v>571</v>
      </c>
      <c r="K77" s="3"/>
      <c r="L77" s="6"/>
      <c r="M77" s="20"/>
      <c r="O77" s="3"/>
      <c r="P77" s="3">
        <v>1</v>
      </c>
      <c r="Q77" s="3"/>
      <c r="R77" s="3"/>
      <c r="S77" s="3"/>
    </row>
    <row r="78" spans="1:19" ht="46.5" x14ac:dyDescent="0.3">
      <c r="A78" s="3"/>
      <c r="B78" s="3" t="s">
        <v>1444</v>
      </c>
      <c r="C78" s="3" t="s">
        <v>1445</v>
      </c>
      <c r="D78" s="3" t="s">
        <v>396</v>
      </c>
      <c r="E78" s="3">
        <v>29</v>
      </c>
      <c r="F78" s="3" t="s">
        <v>35</v>
      </c>
      <c r="G78" s="3" t="s">
        <v>24</v>
      </c>
      <c r="H78" s="3"/>
      <c r="I78" s="3"/>
      <c r="J78" s="24" t="s">
        <v>453</v>
      </c>
      <c r="K78" s="3"/>
      <c r="L78" s="6"/>
      <c r="M78" s="20"/>
      <c r="O78" s="3"/>
      <c r="P78" s="3">
        <v>1</v>
      </c>
      <c r="Q78" s="3"/>
      <c r="R78" s="3"/>
      <c r="S78" s="3"/>
    </row>
    <row r="79" spans="1:19" ht="46.5" x14ac:dyDescent="0.3">
      <c r="A79" s="3"/>
      <c r="B79" s="3" t="s">
        <v>1446</v>
      </c>
      <c r="C79" s="3" t="s">
        <v>214</v>
      </c>
      <c r="D79" s="3" t="s">
        <v>1447</v>
      </c>
      <c r="E79" s="3">
        <v>28</v>
      </c>
      <c r="F79" s="3" t="s">
        <v>35</v>
      </c>
      <c r="G79" s="3" t="s">
        <v>36</v>
      </c>
      <c r="H79" s="3"/>
      <c r="I79" s="3"/>
      <c r="J79" s="24" t="s">
        <v>1376</v>
      </c>
      <c r="K79" s="3"/>
      <c r="L79" s="6"/>
      <c r="M79" s="20"/>
      <c r="O79" s="3"/>
      <c r="P79" s="3"/>
      <c r="Q79" s="3">
        <v>1</v>
      </c>
      <c r="R79" s="3"/>
      <c r="S79" s="3"/>
    </row>
    <row r="80" spans="1:19" ht="15.5" x14ac:dyDescent="0.3">
      <c r="A80" s="3"/>
      <c r="B80" s="3" t="s">
        <v>1448</v>
      </c>
      <c r="C80" s="3" t="s">
        <v>327</v>
      </c>
      <c r="D80" s="3" t="s">
        <v>327</v>
      </c>
      <c r="E80" s="3">
        <v>28</v>
      </c>
      <c r="F80" s="3" t="s">
        <v>35</v>
      </c>
      <c r="G80" s="3" t="s">
        <v>29</v>
      </c>
      <c r="H80" s="3"/>
      <c r="I80" s="3"/>
      <c r="J80" s="24" t="s">
        <v>1349</v>
      </c>
      <c r="K80" s="3"/>
      <c r="L80" s="6"/>
      <c r="M80" s="20"/>
      <c r="O80" s="3">
        <v>1</v>
      </c>
      <c r="P80" s="3"/>
      <c r="Q80" s="3"/>
      <c r="R80" s="3"/>
      <c r="S80" s="3"/>
    </row>
    <row r="81" spans="1:19" ht="15.5" x14ac:dyDescent="0.3">
      <c r="A81" s="3"/>
      <c r="B81" s="3" t="s">
        <v>1449</v>
      </c>
      <c r="C81" s="3" t="s">
        <v>433</v>
      </c>
      <c r="D81" s="3" t="s">
        <v>1450</v>
      </c>
      <c r="E81" s="3">
        <v>25</v>
      </c>
      <c r="F81" s="3" t="s">
        <v>35</v>
      </c>
      <c r="G81" s="3" t="s">
        <v>24</v>
      </c>
      <c r="H81" s="3"/>
      <c r="I81" s="3"/>
      <c r="J81" s="24" t="s">
        <v>1349</v>
      </c>
      <c r="K81" s="3"/>
      <c r="L81" s="6"/>
      <c r="M81" s="20"/>
      <c r="O81" s="3"/>
      <c r="P81" s="3">
        <v>1</v>
      </c>
      <c r="Q81" s="3"/>
      <c r="R81" s="3"/>
      <c r="S81" s="3"/>
    </row>
    <row r="82" spans="1:19" ht="15.5" x14ac:dyDescent="0.3">
      <c r="A82" s="3"/>
      <c r="B82" s="3" t="s">
        <v>1451</v>
      </c>
      <c r="C82" s="3" t="s">
        <v>21</v>
      </c>
      <c r="D82" s="3" t="s">
        <v>1452</v>
      </c>
      <c r="E82" s="3">
        <v>31</v>
      </c>
      <c r="F82" s="3" t="s">
        <v>35</v>
      </c>
      <c r="G82" s="3" t="s">
        <v>29</v>
      </c>
      <c r="H82" s="3"/>
      <c r="I82" s="3"/>
      <c r="J82" s="24" t="s">
        <v>1417</v>
      </c>
      <c r="K82" s="3"/>
      <c r="L82" s="6"/>
      <c r="M82" s="20"/>
      <c r="O82" s="3">
        <v>1</v>
      </c>
      <c r="P82" s="3"/>
      <c r="Q82" s="3"/>
      <c r="R82" s="3"/>
      <c r="S82" s="3"/>
    </row>
    <row r="83" spans="1:19" ht="15.5" x14ac:dyDescent="0.3">
      <c r="A83" s="3"/>
      <c r="B83" s="3" t="s">
        <v>1453</v>
      </c>
      <c r="C83" s="3" t="s">
        <v>458</v>
      </c>
      <c r="D83" s="3" t="s">
        <v>227</v>
      </c>
      <c r="E83" s="3">
        <v>31</v>
      </c>
      <c r="F83" s="3" t="s">
        <v>35</v>
      </c>
      <c r="G83" s="3" t="s">
        <v>24</v>
      </c>
      <c r="H83" s="3"/>
      <c r="I83" s="3"/>
      <c r="J83" s="24" t="s">
        <v>1454</v>
      </c>
      <c r="K83" s="3"/>
      <c r="L83" s="6"/>
      <c r="M83" s="20"/>
      <c r="O83" s="3"/>
      <c r="P83" s="3">
        <v>1</v>
      </c>
      <c r="Q83" s="3"/>
      <c r="R83" s="3"/>
      <c r="S83" s="3"/>
    </row>
    <row r="84" spans="1:19" ht="15.5" x14ac:dyDescent="0.3">
      <c r="A84" s="3"/>
      <c r="B84" s="3"/>
      <c r="C84" s="3"/>
      <c r="D84" s="3"/>
      <c r="E84" s="3"/>
      <c r="F84" s="3"/>
      <c r="G84" s="3"/>
      <c r="H84" s="3"/>
      <c r="I84" s="3"/>
      <c r="J84" s="24"/>
      <c r="K84" s="3"/>
      <c r="L84" s="6"/>
      <c r="M84" s="20"/>
      <c r="O84" s="3"/>
      <c r="P84" s="3"/>
      <c r="Q84" s="3"/>
      <c r="R84" s="3"/>
      <c r="S84" s="3"/>
    </row>
    <row r="85" spans="1:19" ht="15.5" x14ac:dyDescent="0.3">
      <c r="A85" s="3"/>
      <c r="B85" s="3" t="s">
        <v>1096</v>
      </c>
      <c r="C85" s="3" t="s">
        <v>1524</v>
      </c>
      <c r="D85" s="3" t="s">
        <v>1525</v>
      </c>
      <c r="E85" s="3">
        <v>25</v>
      </c>
      <c r="F85" s="3" t="s">
        <v>35</v>
      </c>
      <c r="G85" s="3" t="s">
        <v>24</v>
      </c>
      <c r="H85" s="3"/>
      <c r="I85" s="3"/>
      <c r="J85" s="23"/>
      <c r="K85" s="3"/>
      <c r="L85" s="6"/>
      <c r="M85" s="20"/>
      <c r="O85" s="3"/>
      <c r="P85" s="3">
        <v>1</v>
      </c>
      <c r="Q85" s="3"/>
      <c r="R85" s="3"/>
      <c r="S85" s="3"/>
    </row>
    <row r="86" spans="1:19" ht="15.5" x14ac:dyDescent="0.3">
      <c r="A86" s="3"/>
      <c r="B86" s="3" t="s">
        <v>1539</v>
      </c>
      <c r="C86" s="3" t="s">
        <v>1540</v>
      </c>
      <c r="D86" s="3" t="s">
        <v>1541</v>
      </c>
      <c r="E86" s="3">
        <v>22</v>
      </c>
      <c r="F86" s="3" t="s">
        <v>35</v>
      </c>
      <c r="G86" s="3" t="s">
        <v>24</v>
      </c>
      <c r="H86" s="3"/>
      <c r="I86" s="3"/>
      <c r="J86" s="23" t="s">
        <v>1542</v>
      </c>
      <c r="K86" s="3"/>
      <c r="L86" s="6"/>
      <c r="M86" s="20"/>
      <c r="O86" s="3"/>
      <c r="P86" s="3">
        <v>1</v>
      </c>
      <c r="Q86" s="3"/>
      <c r="R86" s="3"/>
      <c r="S86" s="3"/>
    </row>
    <row r="87" spans="1:19" ht="15.5" x14ac:dyDescent="0.3">
      <c r="A87" s="3"/>
      <c r="B87" s="3" t="s">
        <v>1551</v>
      </c>
      <c r="C87" s="3" t="s">
        <v>228</v>
      </c>
      <c r="D87" s="3" t="s">
        <v>1552</v>
      </c>
      <c r="E87" s="3">
        <v>30</v>
      </c>
      <c r="F87" s="3" t="s">
        <v>35</v>
      </c>
      <c r="G87" s="3" t="s">
        <v>24</v>
      </c>
      <c r="H87" s="3"/>
      <c r="I87" s="3"/>
      <c r="J87" s="23" t="s">
        <v>1553</v>
      </c>
      <c r="K87" s="3"/>
      <c r="L87" s="6"/>
      <c r="M87" s="20"/>
      <c r="O87" s="3"/>
      <c r="P87" s="3">
        <v>1</v>
      </c>
      <c r="Q87" s="3"/>
      <c r="R87" s="3"/>
      <c r="S87" s="3"/>
    </row>
    <row r="88" spans="1:19" ht="15.5" x14ac:dyDescent="0.3">
      <c r="A88" s="3"/>
      <c r="B88" s="3" t="s">
        <v>1557</v>
      </c>
      <c r="C88" s="3" t="s">
        <v>1558</v>
      </c>
      <c r="D88" s="3" t="s">
        <v>1559</v>
      </c>
      <c r="E88" s="3">
        <v>27</v>
      </c>
      <c r="F88" s="3" t="s">
        <v>35</v>
      </c>
      <c r="G88" s="3" t="s">
        <v>24</v>
      </c>
      <c r="H88" s="3"/>
      <c r="I88" s="3"/>
      <c r="J88" s="23" t="s">
        <v>1553</v>
      </c>
      <c r="K88" s="3"/>
      <c r="L88" s="6"/>
      <c r="M88" s="20"/>
      <c r="O88" s="3"/>
      <c r="P88" s="3">
        <v>1</v>
      </c>
      <c r="Q88" s="3"/>
      <c r="R88" s="3"/>
      <c r="S88" s="3"/>
    </row>
    <row r="89" spans="1:19" ht="42" x14ac:dyDescent="0.3">
      <c r="A89" s="3"/>
      <c r="B89" s="3" t="s">
        <v>1572</v>
      </c>
      <c r="C89" s="3" t="s">
        <v>1573</v>
      </c>
      <c r="D89" s="3" t="s">
        <v>1574</v>
      </c>
      <c r="E89" s="3">
        <v>35</v>
      </c>
      <c r="F89" s="3" t="s">
        <v>35</v>
      </c>
      <c r="G89" s="3" t="s">
        <v>24</v>
      </c>
      <c r="H89" s="3"/>
      <c r="I89" s="3"/>
      <c r="J89" s="23" t="s">
        <v>1575</v>
      </c>
      <c r="K89" s="3"/>
      <c r="L89" s="6"/>
      <c r="M89" s="20"/>
      <c r="O89" s="3"/>
      <c r="P89" s="3">
        <v>1</v>
      </c>
      <c r="Q89" s="3"/>
      <c r="R89" s="3"/>
      <c r="S89" s="3"/>
    </row>
    <row r="90" spans="1:19" ht="15.5" x14ac:dyDescent="0.3">
      <c r="A90" s="3"/>
      <c r="B90" s="3" t="s">
        <v>1596</v>
      </c>
      <c r="C90" s="3" t="s">
        <v>1597</v>
      </c>
      <c r="D90" s="3" t="s">
        <v>1598</v>
      </c>
      <c r="E90" s="3">
        <v>26</v>
      </c>
      <c r="F90" s="3" t="s">
        <v>35</v>
      </c>
      <c r="G90" s="3" t="s">
        <v>29</v>
      </c>
      <c r="H90" s="3"/>
      <c r="I90" s="3"/>
      <c r="J90" s="23" t="s">
        <v>786</v>
      </c>
      <c r="K90" s="3"/>
      <c r="L90" s="6"/>
      <c r="M90" s="20"/>
      <c r="O90" s="3">
        <v>1</v>
      </c>
      <c r="P90" s="3"/>
      <c r="Q90" s="3"/>
      <c r="R90" s="3"/>
      <c r="S90" s="3"/>
    </row>
    <row r="91" spans="1:19" ht="28" x14ac:dyDescent="0.3">
      <c r="A91" s="3"/>
      <c r="B91" s="3" t="s">
        <v>1605</v>
      </c>
      <c r="C91" s="3" t="s">
        <v>690</v>
      </c>
      <c r="D91" s="3" t="s">
        <v>1606</v>
      </c>
      <c r="E91" s="3">
        <v>34</v>
      </c>
      <c r="F91" s="3" t="s">
        <v>35</v>
      </c>
      <c r="G91" s="3" t="s">
        <v>36</v>
      </c>
      <c r="H91" s="3"/>
      <c r="I91" s="3"/>
      <c r="J91" s="23" t="s">
        <v>1607</v>
      </c>
      <c r="K91" s="3"/>
      <c r="L91" s="6"/>
      <c r="M91" s="20"/>
      <c r="O91" s="3"/>
      <c r="P91" s="3"/>
      <c r="Q91" s="3">
        <v>1</v>
      </c>
      <c r="R91" s="3"/>
      <c r="S91" s="3"/>
    </row>
    <row r="92" spans="1:19" ht="15.5" x14ac:dyDescent="0.3">
      <c r="A92" s="3"/>
      <c r="B92" s="3" t="s">
        <v>1616</v>
      </c>
      <c r="C92" s="3" t="s">
        <v>119</v>
      </c>
      <c r="D92" s="3" t="s">
        <v>1617</v>
      </c>
      <c r="E92" s="3">
        <v>31</v>
      </c>
      <c r="F92" s="3" t="s">
        <v>35</v>
      </c>
      <c r="G92" s="3" t="s">
        <v>36</v>
      </c>
      <c r="H92" s="3"/>
      <c r="I92" s="3"/>
      <c r="J92" s="23" t="s">
        <v>1618</v>
      </c>
      <c r="K92" s="3"/>
      <c r="L92" s="6"/>
      <c r="M92" s="20"/>
      <c r="O92" s="3"/>
      <c r="P92" s="3"/>
      <c r="Q92" s="3">
        <v>1</v>
      </c>
      <c r="R92" s="3"/>
      <c r="S92" s="3"/>
    </row>
    <row r="93" spans="1:19" ht="15.5" x14ac:dyDescent="0.3">
      <c r="A93" s="3"/>
      <c r="B93" s="3" t="s">
        <v>1624</v>
      </c>
      <c r="C93" s="3" t="s">
        <v>198</v>
      </c>
      <c r="D93" s="3" t="s">
        <v>1625</v>
      </c>
      <c r="E93" s="3">
        <v>30</v>
      </c>
      <c r="F93" s="3" t="s">
        <v>35</v>
      </c>
      <c r="G93" s="3" t="s">
        <v>36</v>
      </c>
      <c r="H93" s="3"/>
      <c r="I93" s="3"/>
      <c r="J93" s="23" t="s">
        <v>1618</v>
      </c>
      <c r="K93" s="3"/>
      <c r="L93" s="6"/>
      <c r="M93" s="20"/>
      <c r="O93" s="3"/>
      <c r="P93" s="3"/>
      <c r="Q93" s="3">
        <v>1</v>
      </c>
      <c r="R93" s="3"/>
      <c r="S93" s="3"/>
    </row>
    <row r="94" spans="1:19" ht="42" x14ac:dyDescent="0.3">
      <c r="A94" s="3"/>
      <c r="B94" s="3" t="s">
        <v>1638</v>
      </c>
      <c r="C94" s="3" t="s">
        <v>306</v>
      </c>
      <c r="D94" s="3" t="s">
        <v>1639</v>
      </c>
      <c r="E94" s="3">
        <v>24</v>
      </c>
      <c r="F94" s="3" t="s">
        <v>35</v>
      </c>
      <c r="G94" s="3" t="s">
        <v>36</v>
      </c>
      <c r="H94" s="3"/>
      <c r="I94" s="3"/>
      <c r="J94" s="23" t="s">
        <v>1640</v>
      </c>
      <c r="K94" s="3"/>
      <c r="L94" s="6"/>
      <c r="M94" s="20"/>
      <c r="O94" s="3"/>
      <c r="P94" s="3"/>
      <c r="Q94" s="3">
        <v>1</v>
      </c>
      <c r="R94" s="3"/>
      <c r="S94" s="3"/>
    </row>
    <row r="95" spans="1:19" ht="42" x14ac:dyDescent="0.3">
      <c r="A95" s="3"/>
      <c r="B95" s="3" t="s">
        <v>1649</v>
      </c>
      <c r="C95" s="3" t="s">
        <v>1650</v>
      </c>
      <c r="D95" s="3" t="s">
        <v>1651</v>
      </c>
      <c r="E95" s="3">
        <v>26</v>
      </c>
      <c r="F95" s="3" t="s">
        <v>35</v>
      </c>
      <c r="G95" s="3" t="s">
        <v>36</v>
      </c>
      <c r="H95" s="3"/>
      <c r="I95" s="3"/>
      <c r="J95" s="23" t="s">
        <v>1640</v>
      </c>
      <c r="K95" s="3"/>
      <c r="L95" s="6"/>
      <c r="M95" s="20"/>
      <c r="O95" s="3"/>
      <c r="P95" s="3"/>
      <c r="Q95" s="3">
        <v>1</v>
      </c>
      <c r="R95" s="3"/>
      <c r="S95" s="3"/>
    </row>
    <row r="96" spans="1:19" ht="15.5" x14ac:dyDescent="0.3">
      <c r="A96" s="3"/>
      <c r="B96" s="3" t="s">
        <v>1652</v>
      </c>
      <c r="C96" s="3" t="s">
        <v>1653</v>
      </c>
      <c r="D96" s="3" t="s">
        <v>1654</v>
      </c>
      <c r="E96" s="3">
        <v>31</v>
      </c>
      <c r="F96" s="3" t="s">
        <v>35</v>
      </c>
      <c r="G96" s="3" t="s">
        <v>24</v>
      </c>
      <c r="H96" s="3"/>
      <c r="I96" s="3"/>
      <c r="J96" s="23" t="s">
        <v>1655</v>
      </c>
      <c r="K96" s="3"/>
      <c r="L96" s="6"/>
      <c r="M96" s="20"/>
      <c r="O96" s="3"/>
      <c r="P96" s="3">
        <v>1</v>
      </c>
      <c r="Q96" s="3"/>
      <c r="R96" s="3"/>
      <c r="S96" s="3"/>
    </row>
    <row r="97" spans="1:19" ht="15.5" x14ac:dyDescent="0.3">
      <c r="A97" s="3"/>
      <c r="B97" s="3" t="s">
        <v>148</v>
      </c>
      <c r="C97" s="3" t="s">
        <v>138</v>
      </c>
      <c r="D97" s="3" t="s">
        <v>154</v>
      </c>
      <c r="E97" s="3">
        <v>23</v>
      </c>
      <c r="F97" s="3" t="s">
        <v>35</v>
      </c>
      <c r="G97" s="3" t="s">
        <v>36</v>
      </c>
      <c r="H97" s="3"/>
      <c r="I97" s="3"/>
      <c r="J97" s="23" t="s">
        <v>1618</v>
      </c>
      <c r="K97" s="3"/>
      <c r="L97" s="6"/>
      <c r="M97" s="20"/>
      <c r="O97" s="3"/>
      <c r="P97" s="3"/>
      <c r="Q97" s="3">
        <v>1</v>
      </c>
      <c r="R97" s="3"/>
      <c r="S97" s="3"/>
    </row>
    <row r="98" spans="1:19" ht="28" x14ac:dyDescent="0.3">
      <c r="A98" s="3"/>
      <c r="B98" s="3" t="s">
        <v>1677</v>
      </c>
      <c r="C98" s="3" t="s">
        <v>1678</v>
      </c>
      <c r="D98" s="3" t="s">
        <v>1679</v>
      </c>
      <c r="E98" s="3">
        <v>23</v>
      </c>
      <c r="F98" s="3" t="s">
        <v>35</v>
      </c>
      <c r="G98" s="3" t="s">
        <v>29</v>
      </c>
      <c r="H98" s="3"/>
      <c r="I98" s="3"/>
      <c r="J98" s="23" t="s">
        <v>1680</v>
      </c>
      <c r="K98" s="3"/>
      <c r="L98" s="6"/>
      <c r="M98" s="20"/>
      <c r="O98" s="3">
        <v>1</v>
      </c>
      <c r="P98" s="3"/>
      <c r="Q98" s="3"/>
      <c r="R98" s="3"/>
      <c r="S98" s="3"/>
    </row>
    <row r="99" spans="1:19" ht="28" x14ac:dyDescent="0.3">
      <c r="A99" s="3"/>
      <c r="B99" s="3" t="s">
        <v>1681</v>
      </c>
      <c r="C99" s="3" t="s">
        <v>1682</v>
      </c>
      <c r="D99" s="3" t="s">
        <v>1683</v>
      </c>
      <c r="E99" s="3">
        <v>26</v>
      </c>
      <c r="F99" s="3" t="s">
        <v>35</v>
      </c>
      <c r="G99" s="3" t="s">
        <v>24</v>
      </c>
      <c r="H99" s="3"/>
      <c r="I99" s="3"/>
      <c r="J99" s="23" t="s">
        <v>1684</v>
      </c>
      <c r="K99" s="3"/>
      <c r="L99" s="6"/>
      <c r="M99" s="20"/>
      <c r="O99" s="3"/>
      <c r="P99" s="3">
        <v>1</v>
      </c>
      <c r="Q99" s="3"/>
      <c r="R99" s="3"/>
      <c r="S99" s="3"/>
    </row>
    <row r="100" spans="1:19" ht="28" x14ac:dyDescent="0.3">
      <c r="A100" s="3"/>
      <c r="B100" s="3" t="s">
        <v>1685</v>
      </c>
      <c r="C100" s="3" t="s">
        <v>40</v>
      </c>
      <c r="D100" s="3" t="s">
        <v>201</v>
      </c>
      <c r="E100" s="3">
        <v>24</v>
      </c>
      <c r="F100" s="3" t="s">
        <v>35</v>
      </c>
      <c r="G100" s="3" t="s">
        <v>29</v>
      </c>
      <c r="H100" s="3"/>
      <c r="I100" s="3"/>
      <c r="J100" s="23" t="s">
        <v>1686</v>
      </c>
      <c r="K100" s="3"/>
      <c r="L100" s="6"/>
      <c r="M100" s="20"/>
      <c r="O100" s="3">
        <v>1</v>
      </c>
      <c r="P100" s="3"/>
      <c r="Q100" s="3"/>
      <c r="R100" s="3"/>
      <c r="S100" s="3"/>
    </row>
    <row r="101" spans="1:19" ht="28" x14ac:dyDescent="0.3">
      <c r="A101" s="3"/>
      <c r="B101" s="3" t="s">
        <v>1691</v>
      </c>
      <c r="C101" s="3" t="s">
        <v>1692</v>
      </c>
      <c r="D101" s="3" t="s">
        <v>1693</v>
      </c>
      <c r="E101" s="3">
        <v>27</v>
      </c>
      <c r="F101" s="3" t="s">
        <v>35</v>
      </c>
      <c r="G101" s="3" t="s">
        <v>24</v>
      </c>
      <c r="H101" s="3"/>
      <c r="I101" s="3"/>
      <c r="J101" s="23" t="s">
        <v>1694</v>
      </c>
      <c r="K101" s="3"/>
      <c r="L101" s="6"/>
      <c r="M101" s="20"/>
      <c r="O101" s="3"/>
      <c r="P101" s="3">
        <v>1</v>
      </c>
      <c r="Q101" s="3"/>
      <c r="R101" s="3"/>
      <c r="S101" s="3"/>
    </row>
    <row r="102" spans="1:19" ht="42" x14ac:dyDescent="0.3">
      <c r="A102" s="3"/>
      <c r="B102" s="3" t="s">
        <v>1701</v>
      </c>
      <c r="C102" s="3" t="s">
        <v>1702</v>
      </c>
      <c r="D102" s="3" t="s">
        <v>1703</v>
      </c>
      <c r="E102" s="3">
        <v>27</v>
      </c>
      <c r="F102" s="3" t="s">
        <v>35</v>
      </c>
      <c r="G102" s="3" t="s">
        <v>24</v>
      </c>
      <c r="H102" s="3"/>
      <c r="I102" s="3"/>
      <c r="J102" s="23" t="s">
        <v>1704</v>
      </c>
      <c r="K102" s="3"/>
      <c r="L102" s="6"/>
      <c r="M102" s="20"/>
      <c r="O102" s="3"/>
      <c r="P102" s="3">
        <v>1</v>
      </c>
      <c r="Q102" s="3"/>
      <c r="R102" s="3"/>
      <c r="S102" s="3"/>
    </row>
    <row r="103" spans="1:19" ht="15.5" x14ac:dyDescent="0.3">
      <c r="A103" s="3"/>
      <c r="B103" s="3" t="s">
        <v>1705</v>
      </c>
      <c r="C103" s="3" t="s">
        <v>1248</v>
      </c>
      <c r="D103" s="3" t="s">
        <v>327</v>
      </c>
      <c r="E103" s="3">
        <v>30</v>
      </c>
      <c r="F103" s="3" t="s">
        <v>35</v>
      </c>
      <c r="G103" s="3" t="s">
        <v>24</v>
      </c>
      <c r="H103" s="3"/>
      <c r="I103" s="3"/>
      <c r="J103" s="23" t="s">
        <v>1706</v>
      </c>
      <c r="K103" s="3"/>
      <c r="L103" s="6"/>
      <c r="M103" s="20"/>
      <c r="O103" s="3"/>
      <c r="P103" s="3">
        <v>1</v>
      </c>
      <c r="Q103" s="3"/>
      <c r="R103" s="3"/>
      <c r="S103" s="3"/>
    </row>
    <row r="104" spans="1:19" ht="15.5" x14ac:dyDescent="0.3">
      <c r="A104" s="3"/>
      <c r="B104" s="3" t="s">
        <v>1707</v>
      </c>
      <c r="C104" s="3" t="s">
        <v>1708</v>
      </c>
      <c r="D104" s="3" t="s">
        <v>195</v>
      </c>
      <c r="E104" s="3">
        <v>26</v>
      </c>
      <c r="F104" s="3" t="s">
        <v>35</v>
      </c>
      <c r="G104" s="3" t="s">
        <v>36</v>
      </c>
      <c r="H104" s="3"/>
      <c r="I104" s="3"/>
      <c r="J104" s="23" t="s">
        <v>1618</v>
      </c>
      <c r="K104" s="3"/>
      <c r="L104" s="6"/>
      <c r="M104" s="20"/>
      <c r="O104" s="3"/>
      <c r="P104" s="3"/>
      <c r="Q104" s="3">
        <v>1</v>
      </c>
      <c r="R104" s="3"/>
      <c r="S104" s="3"/>
    </row>
    <row r="105" spans="1:19" ht="25" customHeight="1" x14ac:dyDescent="0.3">
      <c r="A105" s="3"/>
      <c r="B105" s="3" t="s">
        <v>1713</v>
      </c>
      <c r="C105" s="3" t="s">
        <v>1714</v>
      </c>
      <c r="D105" s="3" t="s">
        <v>1715</v>
      </c>
      <c r="E105" s="3">
        <v>24</v>
      </c>
      <c r="F105" s="3" t="s">
        <v>35</v>
      </c>
      <c r="G105" s="3" t="s">
        <v>24</v>
      </c>
      <c r="H105" s="3"/>
      <c r="I105" s="3"/>
      <c r="J105" s="24" t="s">
        <v>1716</v>
      </c>
      <c r="K105" s="3"/>
      <c r="L105" s="6"/>
      <c r="M105" s="20"/>
      <c r="O105" s="3"/>
      <c r="P105" s="3">
        <v>1</v>
      </c>
      <c r="Q105" s="3"/>
      <c r="R105" s="3"/>
      <c r="S105" s="3"/>
    </row>
    <row r="106" spans="1:19" ht="28" x14ac:dyDescent="0.3">
      <c r="A106" s="3"/>
      <c r="B106" s="3" t="s">
        <v>1720</v>
      </c>
      <c r="C106" s="3" t="s">
        <v>53</v>
      </c>
      <c r="D106" s="3" t="s">
        <v>1721</v>
      </c>
      <c r="E106" s="3">
        <v>26</v>
      </c>
      <c r="F106" s="3" t="s">
        <v>35</v>
      </c>
      <c r="G106" s="3" t="s">
        <v>36</v>
      </c>
      <c r="H106" s="3"/>
      <c r="I106" s="3"/>
      <c r="J106" s="23" t="s">
        <v>1722</v>
      </c>
      <c r="K106" s="3"/>
      <c r="L106" s="6"/>
      <c r="M106" s="20"/>
      <c r="O106" s="3"/>
      <c r="P106" s="3"/>
      <c r="Q106" s="3">
        <v>1</v>
      </c>
      <c r="R106" s="3"/>
      <c r="S106" s="3"/>
    </row>
    <row r="107" spans="1:19" ht="15.5" x14ac:dyDescent="0.3">
      <c r="A107" s="3"/>
      <c r="B107" s="3" t="s">
        <v>148</v>
      </c>
      <c r="C107" s="3" t="s">
        <v>1209</v>
      </c>
      <c r="D107" s="3" t="s">
        <v>1771</v>
      </c>
      <c r="E107" s="3">
        <v>31</v>
      </c>
      <c r="F107" s="3" t="s">
        <v>35</v>
      </c>
      <c r="G107" s="3" t="s">
        <v>29</v>
      </c>
      <c r="H107" s="3"/>
      <c r="I107" s="3"/>
      <c r="J107" s="23"/>
      <c r="K107" s="3"/>
      <c r="L107" s="6"/>
      <c r="M107" s="20"/>
      <c r="O107" s="3">
        <v>1</v>
      </c>
      <c r="P107" s="3"/>
      <c r="Q107" s="3"/>
      <c r="R107" s="3"/>
      <c r="S107" s="3"/>
    </row>
    <row r="108" spans="1:19" ht="15.5" x14ac:dyDescent="0.3">
      <c r="A108" s="3"/>
      <c r="B108" s="3" t="s">
        <v>1782</v>
      </c>
      <c r="C108" s="3" t="s">
        <v>91</v>
      </c>
      <c r="D108" s="3" t="s">
        <v>339</v>
      </c>
      <c r="E108" s="3">
        <v>28</v>
      </c>
      <c r="F108" s="3" t="s">
        <v>35</v>
      </c>
      <c r="G108" s="3" t="s">
        <v>24</v>
      </c>
      <c r="H108" s="3"/>
      <c r="I108" s="3"/>
      <c r="J108" s="23" t="s">
        <v>1783</v>
      </c>
      <c r="K108" s="3"/>
      <c r="L108" s="6"/>
      <c r="M108" s="20"/>
      <c r="O108" s="3"/>
      <c r="P108" s="3">
        <v>1</v>
      </c>
      <c r="Q108" s="3"/>
      <c r="R108" s="3"/>
      <c r="S108" s="3"/>
    </row>
    <row r="109" spans="1:19" ht="15.5" x14ac:dyDescent="0.3">
      <c r="A109" s="3"/>
      <c r="B109" s="3" t="s">
        <v>1793</v>
      </c>
      <c r="C109" s="3" t="s">
        <v>799</v>
      </c>
      <c r="D109" s="3" t="s">
        <v>458</v>
      </c>
      <c r="E109" s="3">
        <v>32</v>
      </c>
      <c r="F109" s="3" t="s">
        <v>35</v>
      </c>
      <c r="G109" s="3" t="s">
        <v>24</v>
      </c>
      <c r="H109" s="3"/>
      <c r="I109" s="3"/>
      <c r="J109" s="3" t="s">
        <v>996</v>
      </c>
      <c r="K109" s="3"/>
      <c r="L109" s="6"/>
      <c r="M109" s="20"/>
      <c r="O109" s="3"/>
      <c r="P109" s="3">
        <v>1</v>
      </c>
      <c r="Q109" s="3"/>
      <c r="R109" s="3"/>
      <c r="S109" s="3"/>
    </row>
    <row r="110" spans="1:19" ht="15.5" x14ac:dyDescent="0.3">
      <c r="A110" s="3"/>
      <c r="B110" s="3" t="s">
        <v>1797</v>
      </c>
      <c r="C110" s="3" t="s">
        <v>43</v>
      </c>
      <c r="D110" s="3" t="s">
        <v>1798</v>
      </c>
      <c r="E110" s="3">
        <v>26</v>
      </c>
      <c r="F110" s="3" t="s">
        <v>35</v>
      </c>
      <c r="G110" s="3" t="s">
        <v>24</v>
      </c>
      <c r="H110" s="3"/>
      <c r="I110" s="3"/>
      <c r="J110" s="23" t="s">
        <v>1790</v>
      </c>
      <c r="K110" s="3"/>
      <c r="L110" s="6"/>
      <c r="M110" s="20"/>
      <c r="O110" s="3"/>
      <c r="P110" s="3">
        <v>1</v>
      </c>
      <c r="Q110" s="3"/>
      <c r="R110" s="3"/>
      <c r="S110" s="3"/>
    </row>
    <row r="111" spans="1:19" ht="15.5" x14ac:dyDescent="0.3">
      <c r="A111" s="3"/>
      <c r="B111" s="3" t="s">
        <v>1830</v>
      </c>
      <c r="C111" s="3" t="s">
        <v>1184</v>
      </c>
      <c r="D111" s="3" t="s">
        <v>1288</v>
      </c>
      <c r="E111" s="3">
        <v>27</v>
      </c>
      <c r="F111" s="3" t="s">
        <v>35</v>
      </c>
      <c r="G111" s="3" t="s">
        <v>24</v>
      </c>
      <c r="H111" s="3"/>
      <c r="I111" s="3"/>
      <c r="J111" s="23" t="s">
        <v>1831</v>
      </c>
      <c r="K111" s="3"/>
      <c r="L111" s="6"/>
      <c r="M111" s="20"/>
      <c r="O111" s="3"/>
      <c r="P111" s="3">
        <v>1</v>
      </c>
      <c r="Q111" s="3"/>
      <c r="R111" s="3"/>
      <c r="S111" s="3"/>
    </row>
    <row r="112" spans="1:19" ht="15.5" x14ac:dyDescent="0.3">
      <c r="A112" s="3"/>
      <c r="B112" s="3" t="s">
        <v>1709</v>
      </c>
      <c r="C112" s="3" t="s">
        <v>1846</v>
      </c>
      <c r="D112" s="3" t="s">
        <v>1848</v>
      </c>
      <c r="E112" s="3">
        <v>35</v>
      </c>
      <c r="F112" s="3" t="s">
        <v>35</v>
      </c>
      <c r="G112" s="3" t="s">
        <v>64</v>
      </c>
      <c r="H112" s="3"/>
      <c r="I112" s="3"/>
      <c r="J112" s="23"/>
      <c r="K112" s="3"/>
      <c r="L112" s="6"/>
      <c r="M112" s="20"/>
      <c r="O112" s="3"/>
      <c r="P112" s="3"/>
      <c r="Q112" s="3"/>
      <c r="R112" s="3">
        <v>1</v>
      </c>
      <c r="S112" s="3"/>
    </row>
    <row r="113" spans="1:19" ht="28" x14ac:dyDescent="0.3">
      <c r="A113" s="3"/>
      <c r="B113" s="3" t="s">
        <v>1849</v>
      </c>
      <c r="C113" s="3" t="s">
        <v>1850</v>
      </c>
      <c r="D113" s="3" t="s">
        <v>574</v>
      </c>
      <c r="E113" s="3">
        <v>27</v>
      </c>
      <c r="F113" s="3" t="s">
        <v>35</v>
      </c>
      <c r="G113" s="3" t="s">
        <v>36</v>
      </c>
      <c r="H113" s="3"/>
      <c r="I113" s="3"/>
      <c r="J113" s="23" t="s">
        <v>1851</v>
      </c>
      <c r="K113" s="3"/>
      <c r="L113" s="6"/>
      <c r="M113" s="20"/>
      <c r="O113" s="3"/>
      <c r="P113" s="3"/>
      <c r="Q113" s="3">
        <v>1</v>
      </c>
      <c r="R113" s="3"/>
      <c r="S113" s="3"/>
    </row>
    <row r="114" spans="1:19" ht="15.5" x14ac:dyDescent="0.3">
      <c r="A114" s="3"/>
      <c r="B114" s="3" t="s">
        <v>562</v>
      </c>
      <c r="C114" s="3" t="s">
        <v>34</v>
      </c>
      <c r="D114" s="3" t="s">
        <v>1852</v>
      </c>
      <c r="E114" s="3">
        <v>30</v>
      </c>
      <c r="F114" s="3" t="s">
        <v>35</v>
      </c>
      <c r="G114" s="3" t="s">
        <v>36</v>
      </c>
      <c r="H114" s="3"/>
      <c r="I114" s="3"/>
      <c r="J114" s="23" t="s">
        <v>1420</v>
      </c>
      <c r="K114" s="3"/>
      <c r="L114" s="6"/>
      <c r="M114" s="20"/>
      <c r="O114" s="3"/>
      <c r="P114" s="3"/>
      <c r="Q114" s="3">
        <v>1</v>
      </c>
      <c r="R114" s="3"/>
      <c r="S114" s="3"/>
    </row>
    <row r="115" spans="1:19" ht="15.5" x14ac:dyDescent="0.3">
      <c r="A115" s="3"/>
      <c r="B115" s="3" t="s">
        <v>1869</v>
      </c>
      <c r="C115" s="3" t="s">
        <v>1870</v>
      </c>
      <c r="D115" s="3" t="s">
        <v>499</v>
      </c>
      <c r="E115" s="3">
        <v>26</v>
      </c>
      <c r="F115" s="3" t="s">
        <v>35</v>
      </c>
      <c r="G115" s="3" t="s">
        <v>24</v>
      </c>
      <c r="H115" s="3"/>
      <c r="I115" s="3"/>
      <c r="J115" s="3" t="s">
        <v>996</v>
      </c>
      <c r="K115" s="3"/>
      <c r="L115" s="6"/>
      <c r="M115" s="20"/>
      <c r="O115" s="3"/>
      <c r="P115" s="3">
        <v>1</v>
      </c>
      <c r="Q115" s="3"/>
      <c r="R115" s="3"/>
      <c r="S115" s="3"/>
    </row>
    <row r="116" spans="1:19" ht="15.5" x14ac:dyDescent="0.3">
      <c r="A116" s="3"/>
      <c r="B116" s="3" t="s">
        <v>1884</v>
      </c>
      <c r="C116" s="3" t="s">
        <v>1885</v>
      </c>
      <c r="D116" s="3" t="s">
        <v>1886</v>
      </c>
      <c r="E116" s="3">
        <v>26</v>
      </c>
      <c r="F116" s="3" t="s">
        <v>35</v>
      </c>
      <c r="G116" s="3" t="s">
        <v>24</v>
      </c>
      <c r="H116" s="3"/>
      <c r="I116" s="3"/>
      <c r="J116" s="3" t="s">
        <v>996</v>
      </c>
      <c r="K116" s="3"/>
      <c r="L116" s="6"/>
      <c r="M116" s="20"/>
      <c r="O116" s="3"/>
      <c r="P116" s="3">
        <v>1</v>
      </c>
      <c r="Q116" s="3"/>
      <c r="R116" s="3"/>
      <c r="S116" s="3"/>
    </row>
    <row r="117" spans="1:19" ht="15.5" x14ac:dyDescent="0.3">
      <c r="A117" s="3"/>
      <c r="B117" s="3" t="s">
        <v>2121</v>
      </c>
      <c r="C117" s="3" t="s">
        <v>433</v>
      </c>
      <c r="D117" s="3" t="s">
        <v>2011</v>
      </c>
      <c r="E117" s="3">
        <v>28</v>
      </c>
      <c r="F117" s="3" t="s">
        <v>35</v>
      </c>
      <c r="G117" s="3" t="s">
        <v>36</v>
      </c>
      <c r="H117" s="3"/>
      <c r="I117" s="3"/>
      <c r="J117" s="3" t="s">
        <v>571</v>
      </c>
      <c r="K117" s="3"/>
      <c r="L117" s="6"/>
      <c r="M117" s="20"/>
      <c r="O117" s="3"/>
      <c r="P117" s="3"/>
      <c r="Q117" s="3">
        <v>1</v>
      </c>
      <c r="R117" s="3"/>
      <c r="S117" s="3"/>
    </row>
    <row r="118" spans="1:19" ht="15.5" x14ac:dyDescent="0.3">
      <c r="A118" s="3"/>
      <c r="B118" s="3" t="s">
        <v>2122</v>
      </c>
      <c r="C118" s="3" t="s">
        <v>2123</v>
      </c>
      <c r="D118" s="3" t="s">
        <v>201</v>
      </c>
      <c r="E118" s="3">
        <v>27</v>
      </c>
      <c r="F118" s="3" t="s">
        <v>35</v>
      </c>
      <c r="G118" s="3" t="s">
        <v>24</v>
      </c>
      <c r="H118" s="3"/>
      <c r="I118" s="3"/>
      <c r="J118" s="3" t="s">
        <v>2147</v>
      </c>
      <c r="K118" s="3"/>
      <c r="L118" s="6"/>
      <c r="M118" s="20"/>
      <c r="O118" s="3"/>
      <c r="P118" s="3">
        <v>1</v>
      </c>
      <c r="Q118" s="3"/>
      <c r="R118" s="3"/>
      <c r="S118" s="3"/>
    </row>
    <row r="119" spans="1:19" ht="15.5" x14ac:dyDescent="0.3">
      <c r="A119" s="3"/>
      <c r="B119" s="3" t="s">
        <v>1383</v>
      </c>
      <c r="C119" s="3" t="s">
        <v>558</v>
      </c>
      <c r="D119" s="3" t="s">
        <v>2124</v>
      </c>
      <c r="E119" s="3">
        <v>26</v>
      </c>
      <c r="F119" s="3" t="s">
        <v>35</v>
      </c>
      <c r="G119" s="3" t="s">
        <v>24</v>
      </c>
      <c r="H119" s="3"/>
      <c r="I119" s="3"/>
      <c r="J119" s="3" t="s">
        <v>1986</v>
      </c>
      <c r="K119" s="3"/>
      <c r="L119" s="6"/>
      <c r="M119" s="20"/>
      <c r="O119" s="3"/>
      <c r="P119" s="3">
        <v>1</v>
      </c>
      <c r="Q119" s="3"/>
      <c r="R119" s="3"/>
      <c r="S119" s="3"/>
    </row>
    <row r="120" spans="1:19" ht="15.5" x14ac:dyDescent="0.3">
      <c r="A120" s="3"/>
      <c r="B120" s="3" t="s">
        <v>2125</v>
      </c>
      <c r="C120" s="3" t="s">
        <v>153</v>
      </c>
      <c r="D120" s="3" t="s">
        <v>2126</v>
      </c>
      <c r="E120" s="3">
        <v>25</v>
      </c>
      <c r="F120" s="3" t="s">
        <v>35</v>
      </c>
      <c r="G120" s="3" t="s">
        <v>24</v>
      </c>
      <c r="H120" s="3"/>
      <c r="I120" s="3"/>
      <c r="J120" s="3" t="s">
        <v>1980</v>
      </c>
      <c r="K120" s="3"/>
      <c r="L120" s="6"/>
      <c r="M120" s="20"/>
      <c r="O120" s="3"/>
      <c r="P120" s="3">
        <v>1</v>
      </c>
      <c r="Q120" s="3"/>
      <c r="R120" s="3"/>
      <c r="S120" s="3"/>
    </row>
    <row r="121" spans="1:19" ht="15.5" x14ac:dyDescent="0.3">
      <c r="A121" s="3"/>
      <c r="B121" s="3" t="s">
        <v>2127</v>
      </c>
      <c r="C121" s="3" t="s">
        <v>177</v>
      </c>
      <c r="D121" s="3" t="s">
        <v>2128</v>
      </c>
      <c r="E121" s="3">
        <v>28</v>
      </c>
      <c r="F121" s="3" t="s">
        <v>35</v>
      </c>
      <c r="G121" s="3" t="s">
        <v>36</v>
      </c>
      <c r="H121" s="3"/>
      <c r="I121" s="3"/>
      <c r="J121" s="3" t="s">
        <v>1980</v>
      </c>
      <c r="K121" s="3"/>
      <c r="L121" s="6"/>
      <c r="M121" s="20"/>
      <c r="O121" s="3"/>
      <c r="P121" s="3"/>
      <c r="Q121" s="3">
        <v>1</v>
      </c>
      <c r="R121" s="3"/>
      <c r="S121" s="3"/>
    </row>
    <row r="122" spans="1:19" ht="15.5" x14ac:dyDescent="0.3">
      <c r="A122" s="3"/>
      <c r="B122" s="3" t="s">
        <v>2129</v>
      </c>
      <c r="C122" s="3" t="s">
        <v>2130</v>
      </c>
      <c r="D122" s="3" t="s">
        <v>200</v>
      </c>
      <c r="E122" s="3">
        <v>32</v>
      </c>
      <c r="F122" s="3" t="s">
        <v>35</v>
      </c>
      <c r="G122" s="3" t="s">
        <v>36</v>
      </c>
      <c r="H122" s="3"/>
      <c r="I122" s="3"/>
      <c r="J122" s="3"/>
      <c r="K122" s="3"/>
      <c r="L122" s="6"/>
      <c r="M122" s="20"/>
      <c r="O122" s="3"/>
      <c r="P122" s="3"/>
      <c r="Q122" s="3">
        <v>1</v>
      </c>
      <c r="R122" s="3"/>
      <c r="S122" s="3"/>
    </row>
    <row r="123" spans="1:19" ht="15.5" x14ac:dyDescent="0.3">
      <c r="A123" s="3"/>
      <c r="B123" s="3" t="s">
        <v>2131</v>
      </c>
      <c r="C123" s="3" t="s">
        <v>882</v>
      </c>
      <c r="D123" s="3" t="s">
        <v>580</v>
      </c>
      <c r="E123" s="3">
        <v>31</v>
      </c>
      <c r="F123" s="3" t="s">
        <v>35</v>
      </c>
      <c r="G123" s="3" t="s">
        <v>36</v>
      </c>
      <c r="H123" s="3"/>
      <c r="I123" s="3"/>
      <c r="J123" s="3" t="s">
        <v>1987</v>
      </c>
      <c r="K123" s="3"/>
      <c r="L123" s="6"/>
      <c r="M123" s="20"/>
      <c r="O123" s="3"/>
      <c r="P123" s="3"/>
      <c r="Q123" s="3">
        <v>1</v>
      </c>
      <c r="R123" s="3"/>
      <c r="S123" s="3"/>
    </row>
    <row r="124" spans="1:19" ht="15.5" x14ac:dyDescent="0.3">
      <c r="A124" s="3"/>
      <c r="B124" s="3" t="s">
        <v>2132</v>
      </c>
      <c r="C124" s="3" t="s">
        <v>1220</v>
      </c>
      <c r="D124" s="3" t="s">
        <v>2133</v>
      </c>
      <c r="E124" s="3">
        <v>27</v>
      </c>
      <c r="F124" s="3" t="s">
        <v>35</v>
      </c>
      <c r="G124" s="3" t="s">
        <v>36</v>
      </c>
      <c r="H124" s="3"/>
      <c r="I124" s="3"/>
      <c r="J124" s="3" t="s">
        <v>1420</v>
      </c>
      <c r="K124" s="3"/>
      <c r="L124" s="6"/>
      <c r="M124" s="20"/>
      <c r="O124" s="3"/>
      <c r="P124" s="3"/>
      <c r="Q124" s="3">
        <v>1</v>
      </c>
      <c r="R124" s="3"/>
      <c r="S124" s="3"/>
    </row>
    <row r="125" spans="1:19" ht="15.5" x14ac:dyDescent="0.3">
      <c r="A125" s="3"/>
      <c r="B125" s="3" t="s">
        <v>2065</v>
      </c>
      <c r="C125" s="3" t="s">
        <v>146</v>
      </c>
      <c r="D125" s="3" t="s">
        <v>1979</v>
      </c>
      <c r="E125" s="3">
        <v>23</v>
      </c>
      <c r="F125" s="3" t="s">
        <v>35</v>
      </c>
      <c r="G125" s="3" t="s">
        <v>24</v>
      </c>
      <c r="H125" s="3"/>
      <c r="I125" s="3"/>
      <c r="J125" s="3" t="s">
        <v>1417</v>
      </c>
      <c r="K125" s="3"/>
      <c r="L125" s="6"/>
      <c r="M125" s="20"/>
      <c r="O125" s="3"/>
      <c r="P125" s="3">
        <v>1</v>
      </c>
      <c r="Q125" s="3"/>
      <c r="R125" s="3"/>
      <c r="S125" s="3"/>
    </row>
    <row r="126" spans="1:19" ht="15.5" x14ac:dyDescent="0.3">
      <c r="A126" s="3"/>
      <c r="B126" s="3" t="s">
        <v>2134</v>
      </c>
      <c r="C126" s="3" t="s">
        <v>200</v>
      </c>
      <c r="D126" s="3" t="s">
        <v>782</v>
      </c>
      <c r="E126" s="3">
        <v>30</v>
      </c>
      <c r="F126" s="3" t="s">
        <v>35</v>
      </c>
      <c r="G126" s="3" t="s">
        <v>24</v>
      </c>
      <c r="H126" s="3"/>
      <c r="I126" s="3"/>
      <c r="J126" s="3" t="s">
        <v>1980</v>
      </c>
      <c r="K126" s="3"/>
      <c r="L126" s="6"/>
      <c r="M126" s="20"/>
      <c r="O126" s="3"/>
      <c r="P126" s="3">
        <v>1</v>
      </c>
      <c r="Q126" s="3"/>
      <c r="R126" s="3"/>
      <c r="S126" s="3"/>
    </row>
    <row r="127" spans="1:19" ht="15.5" x14ac:dyDescent="0.3">
      <c r="A127" s="3"/>
      <c r="B127" s="3" t="s">
        <v>2135</v>
      </c>
      <c r="C127" s="3" t="s">
        <v>2136</v>
      </c>
      <c r="D127" s="3" t="s">
        <v>203</v>
      </c>
      <c r="E127" s="3">
        <v>34</v>
      </c>
      <c r="F127" s="3" t="s">
        <v>35</v>
      </c>
      <c r="G127" s="3" t="s">
        <v>24</v>
      </c>
      <c r="H127" s="3"/>
      <c r="I127" s="3"/>
      <c r="J127" s="3" t="s">
        <v>1995</v>
      </c>
      <c r="K127" s="3"/>
      <c r="L127" s="6"/>
      <c r="M127" s="20"/>
      <c r="O127" s="3"/>
      <c r="P127" s="3">
        <v>1</v>
      </c>
      <c r="Q127" s="3"/>
      <c r="R127" s="3"/>
      <c r="S127" s="3"/>
    </row>
    <row r="128" spans="1:19" ht="15.5" x14ac:dyDescent="0.3">
      <c r="A128" s="3"/>
      <c r="B128" s="3" t="s">
        <v>2137</v>
      </c>
      <c r="C128" s="3" t="s">
        <v>433</v>
      </c>
      <c r="D128" s="3" t="s">
        <v>111</v>
      </c>
      <c r="E128" s="3">
        <v>32</v>
      </c>
      <c r="F128" s="3" t="s">
        <v>35</v>
      </c>
      <c r="G128" s="3" t="s">
        <v>24</v>
      </c>
      <c r="H128" s="3"/>
      <c r="I128" s="3"/>
      <c r="J128" s="3" t="s">
        <v>2148</v>
      </c>
      <c r="K128" s="3"/>
      <c r="L128" s="6"/>
      <c r="M128" s="20"/>
      <c r="O128" s="3"/>
      <c r="P128" s="3">
        <v>1</v>
      </c>
      <c r="Q128" s="3"/>
      <c r="R128" s="3"/>
      <c r="S128" s="3"/>
    </row>
    <row r="129" spans="1:19" ht="15.5" x14ac:dyDescent="0.3">
      <c r="A129" s="3"/>
      <c r="B129" s="3" t="s">
        <v>2138</v>
      </c>
      <c r="C129" s="3" t="s">
        <v>859</v>
      </c>
      <c r="D129" s="3" t="s">
        <v>228</v>
      </c>
      <c r="E129" s="3">
        <v>26</v>
      </c>
      <c r="F129" s="3" t="s">
        <v>35</v>
      </c>
      <c r="G129" s="3" t="s">
        <v>24</v>
      </c>
      <c r="H129" s="3"/>
      <c r="I129" s="3"/>
      <c r="J129" s="3" t="s">
        <v>2149</v>
      </c>
      <c r="K129" s="3"/>
      <c r="L129" s="6"/>
      <c r="M129" s="20"/>
      <c r="O129" s="3"/>
      <c r="P129" s="3">
        <v>1</v>
      </c>
      <c r="Q129" s="3"/>
      <c r="R129" s="3"/>
      <c r="S129" s="3"/>
    </row>
    <row r="130" spans="1:19" ht="15.5" x14ac:dyDescent="0.3">
      <c r="A130" s="3"/>
      <c r="B130" s="3" t="s">
        <v>2139</v>
      </c>
      <c r="C130" s="3" t="s">
        <v>228</v>
      </c>
      <c r="D130" s="3" t="s">
        <v>418</v>
      </c>
      <c r="E130" s="3">
        <v>26</v>
      </c>
      <c r="F130" s="3" t="s">
        <v>35</v>
      </c>
      <c r="G130" s="3" t="s">
        <v>64</v>
      </c>
      <c r="H130" s="3"/>
      <c r="I130" s="3"/>
      <c r="J130" s="3" t="s">
        <v>2012</v>
      </c>
      <c r="K130" s="3"/>
      <c r="L130" s="6"/>
      <c r="M130" s="20"/>
      <c r="O130" s="3"/>
      <c r="P130" s="3"/>
      <c r="Q130" s="3"/>
      <c r="R130" s="3">
        <v>1</v>
      </c>
      <c r="S130" s="3"/>
    </row>
    <row r="131" spans="1:19" ht="15.5" x14ac:dyDescent="0.3">
      <c r="A131" s="3"/>
      <c r="B131" s="3" t="s">
        <v>2140</v>
      </c>
      <c r="C131" s="3" t="s">
        <v>137</v>
      </c>
      <c r="D131" s="3" t="s">
        <v>580</v>
      </c>
      <c r="E131" s="3">
        <v>35</v>
      </c>
      <c r="F131" s="3" t="s">
        <v>35</v>
      </c>
      <c r="G131" s="3" t="s">
        <v>24</v>
      </c>
      <c r="H131" s="3"/>
      <c r="I131" s="3"/>
      <c r="J131" s="3" t="s">
        <v>923</v>
      </c>
      <c r="K131" s="3"/>
      <c r="L131" s="6"/>
      <c r="M131" s="20"/>
      <c r="O131" s="3"/>
      <c r="P131" s="3">
        <v>1</v>
      </c>
      <c r="Q131" s="3"/>
      <c r="R131" s="3"/>
      <c r="S131" s="3"/>
    </row>
    <row r="132" spans="1:19" ht="15.5" x14ac:dyDescent="0.3">
      <c r="A132" s="3"/>
      <c r="B132" s="3" t="s">
        <v>2141</v>
      </c>
      <c r="C132" s="3" t="s">
        <v>368</v>
      </c>
      <c r="D132" s="3" t="s">
        <v>143</v>
      </c>
      <c r="E132" s="3">
        <v>32</v>
      </c>
      <c r="F132" s="3" t="s">
        <v>35</v>
      </c>
      <c r="G132" s="3" t="s">
        <v>24</v>
      </c>
      <c r="H132" s="3"/>
      <c r="I132" s="3"/>
      <c r="J132" s="3" t="s">
        <v>923</v>
      </c>
      <c r="K132" s="3"/>
      <c r="L132" s="6"/>
      <c r="M132" s="20"/>
      <c r="O132" s="3"/>
      <c r="P132" s="3">
        <v>1</v>
      </c>
      <c r="Q132" s="3"/>
      <c r="R132" s="3"/>
      <c r="S132" s="3"/>
    </row>
    <row r="133" spans="1:19" ht="15.5" x14ac:dyDescent="0.3">
      <c r="A133" s="3"/>
      <c r="B133" s="3" t="s">
        <v>128</v>
      </c>
      <c r="C133" s="3" t="s">
        <v>91</v>
      </c>
      <c r="D133" s="3" t="s">
        <v>2142</v>
      </c>
      <c r="E133" s="3">
        <v>25</v>
      </c>
      <c r="F133" s="3" t="s">
        <v>35</v>
      </c>
      <c r="G133" s="3" t="s">
        <v>36</v>
      </c>
      <c r="H133" s="3"/>
      <c r="I133" s="3"/>
      <c r="J133" s="3" t="s">
        <v>923</v>
      </c>
      <c r="K133" s="3"/>
      <c r="L133" s="6"/>
      <c r="M133" s="20"/>
      <c r="O133" s="3"/>
      <c r="P133" s="3"/>
      <c r="Q133" s="3">
        <v>1</v>
      </c>
      <c r="R133" s="3"/>
      <c r="S133" s="3"/>
    </row>
    <row r="134" spans="1:19" ht="15.5" x14ac:dyDescent="0.3">
      <c r="A134" s="3"/>
      <c r="B134" s="3" t="s">
        <v>2143</v>
      </c>
      <c r="C134" s="3" t="s">
        <v>1702</v>
      </c>
      <c r="D134" s="3" t="s">
        <v>1703</v>
      </c>
      <c r="E134" s="3">
        <v>27</v>
      </c>
      <c r="F134" s="3" t="s">
        <v>35</v>
      </c>
      <c r="G134" s="3" t="s">
        <v>24</v>
      </c>
      <c r="H134" s="3"/>
      <c r="I134" s="3"/>
      <c r="J134" s="3" t="s">
        <v>923</v>
      </c>
      <c r="K134" s="3"/>
      <c r="L134" s="6"/>
      <c r="M134" s="20"/>
      <c r="O134" s="3"/>
      <c r="P134" s="3">
        <v>1</v>
      </c>
      <c r="Q134" s="3"/>
      <c r="R134" s="3"/>
      <c r="S134" s="3"/>
    </row>
    <row r="135" spans="1:19" ht="15.5" x14ac:dyDescent="0.3">
      <c r="A135" s="3"/>
      <c r="B135" s="3" t="s">
        <v>2144</v>
      </c>
      <c r="C135" s="3" t="s">
        <v>2145</v>
      </c>
      <c r="D135" s="3" t="s">
        <v>2146</v>
      </c>
      <c r="E135" s="3">
        <v>30</v>
      </c>
      <c r="F135" s="3" t="s">
        <v>35</v>
      </c>
      <c r="G135" s="3" t="s">
        <v>36</v>
      </c>
      <c r="H135" s="3"/>
      <c r="I135" s="3"/>
      <c r="J135" s="3" t="s">
        <v>923</v>
      </c>
      <c r="K135" s="3"/>
      <c r="L135" s="6"/>
      <c r="M135" s="20"/>
      <c r="O135" s="3"/>
      <c r="P135" s="3"/>
      <c r="Q135" s="3">
        <v>1</v>
      </c>
      <c r="R135" s="3"/>
      <c r="S135" s="3"/>
    </row>
    <row r="136" spans="1:19" ht="15.5" x14ac:dyDescent="0.3">
      <c r="A136" s="3"/>
      <c r="B136" s="3" t="s">
        <v>2221</v>
      </c>
      <c r="C136" s="3" t="s">
        <v>306</v>
      </c>
      <c r="D136" s="3" t="s">
        <v>377</v>
      </c>
      <c r="E136" s="3">
        <v>34</v>
      </c>
      <c r="F136" s="3" t="s">
        <v>35</v>
      </c>
      <c r="G136" s="3" t="s">
        <v>24</v>
      </c>
      <c r="H136" s="3"/>
      <c r="I136" s="3"/>
      <c r="J136" s="23" t="s">
        <v>1350</v>
      </c>
      <c r="K136" s="3"/>
      <c r="L136" s="6"/>
      <c r="M136" s="20"/>
      <c r="O136" s="3"/>
      <c r="P136" s="3">
        <v>1</v>
      </c>
      <c r="Q136" s="3"/>
      <c r="R136" s="3"/>
      <c r="S136" s="3"/>
    </row>
    <row r="137" spans="1:19" ht="15.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23"/>
      <c r="K137" s="3"/>
      <c r="L137" s="6"/>
      <c r="M137" s="5"/>
      <c r="O137" s="3"/>
      <c r="P137" s="3"/>
      <c r="Q137" s="3"/>
      <c r="R137" s="3"/>
      <c r="S137" s="3"/>
    </row>
    <row r="138" spans="1:19" ht="15.5" x14ac:dyDescent="0.3">
      <c r="A138" s="3"/>
      <c r="B138" s="36" t="s">
        <v>1479</v>
      </c>
      <c r="C138" s="36" t="s">
        <v>884</v>
      </c>
      <c r="D138" s="36" t="s">
        <v>885</v>
      </c>
      <c r="E138" s="36">
        <v>31</v>
      </c>
      <c r="F138" s="36" t="s">
        <v>35</v>
      </c>
      <c r="G138" s="36" t="s">
        <v>36</v>
      </c>
      <c r="H138" s="3"/>
      <c r="I138" s="3"/>
      <c r="J138" s="36" t="s">
        <v>2217</v>
      </c>
      <c r="K138" s="3"/>
      <c r="L138" s="6"/>
      <c r="M138" s="5"/>
      <c r="O138" s="3"/>
      <c r="P138" s="3"/>
      <c r="Q138" s="3">
        <v>1</v>
      </c>
      <c r="R138" s="3"/>
      <c r="S138" s="3"/>
    </row>
    <row r="139" spans="1:19" ht="15.5" x14ac:dyDescent="0.3">
      <c r="A139" s="3"/>
      <c r="B139" s="36" t="s">
        <v>819</v>
      </c>
      <c r="C139" s="36" t="s">
        <v>1288</v>
      </c>
      <c r="D139" s="36" t="s">
        <v>2210</v>
      </c>
      <c r="E139" s="36">
        <v>27</v>
      </c>
      <c r="F139" s="36" t="s">
        <v>35</v>
      </c>
      <c r="G139" s="36" t="s">
        <v>36</v>
      </c>
      <c r="H139" s="3"/>
      <c r="I139" s="3"/>
      <c r="J139" s="36" t="s">
        <v>2185</v>
      </c>
      <c r="K139" s="3"/>
      <c r="L139" s="6"/>
      <c r="M139" s="5"/>
      <c r="O139" s="3"/>
      <c r="P139" s="3"/>
      <c r="Q139" s="3">
        <v>1</v>
      </c>
      <c r="R139" s="3"/>
      <c r="S139" s="3"/>
    </row>
    <row r="140" spans="1:19" ht="15.5" x14ac:dyDescent="0.3">
      <c r="A140" s="3"/>
      <c r="B140" s="36" t="s">
        <v>2211</v>
      </c>
      <c r="C140" s="36" t="s">
        <v>708</v>
      </c>
      <c r="D140" s="36" t="s">
        <v>189</v>
      </c>
      <c r="E140" s="36">
        <v>32</v>
      </c>
      <c r="F140" s="36" t="s">
        <v>35</v>
      </c>
      <c r="G140" s="36" t="s">
        <v>24</v>
      </c>
      <c r="H140" s="3"/>
      <c r="I140" s="3"/>
      <c r="J140" s="36" t="s">
        <v>2185</v>
      </c>
      <c r="K140" s="3"/>
      <c r="L140" s="6"/>
      <c r="M140" s="5"/>
      <c r="O140" s="3"/>
      <c r="P140" s="3">
        <v>1</v>
      </c>
      <c r="Q140" s="3"/>
      <c r="R140" s="3"/>
      <c r="S140" s="3"/>
    </row>
    <row r="141" spans="1:19" ht="15.5" x14ac:dyDescent="0.3">
      <c r="A141" s="3"/>
      <c r="B141" s="36" t="s">
        <v>2212</v>
      </c>
      <c r="C141" s="36" t="s">
        <v>1702</v>
      </c>
      <c r="D141" s="36" t="s">
        <v>2213</v>
      </c>
      <c r="E141" s="36">
        <v>22</v>
      </c>
      <c r="F141" s="36" t="s">
        <v>35</v>
      </c>
      <c r="G141" s="36" t="s">
        <v>24</v>
      </c>
      <c r="H141" s="3"/>
      <c r="I141" s="3"/>
      <c r="J141" s="36" t="s">
        <v>2185</v>
      </c>
      <c r="K141" s="3"/>
      <c r="L141" s="6"/>
      <c r="M141" s="5"/>
      <c r="O141" s="3"/>
      <c r="P141" s="3">
        <v>1</v>
      </c>
      <c r="Q141" s="3"/>
      <c r="R141" s="3"/>
      <c r="S141" s="3"/>
    </row>
    <row r="142" spans="1:19" ht="15.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23"/>
      <c r="K142" s="3"/>
      <c r="L142" s="6"/>
      <c r="M142" s="5"/>
      <c r="O142" s="3"/>
      <c r="P142" s="3"/>
      <c r="Q142" s="3"/>
      <c r="R142" s="3"/>
      <c r="S142" s="3"/>
    </row>
    <row r="143" spans="1:19" ht="15.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23"/>
      <c r="K143" s="3"/>
      <c r="L143" s="6"/>
      <c r="M143" s="5"/>
      <c r="O143" s="3"/>
      <c r="P143" s="3"/>
      <c r="Q143" s="3"/>
      <c r="R143" s="3"/>
      <c r="S143" s="3"/>
    </row>
    <row r="144" spans="1:19" ht="15.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23"/>
      <c r="K144" s="3"/>
      <c r="L144" s="6"/>
      <c r="M144" s="5"/>
      <c r="O144" s="3"/>
      <c r="P144" s="3"/>
      <c r="Q144" s="3"/>
      <c r="R144" s="3"/>
      <c r="S144" s="3"/>
    </row>
    <row r="145" spans="1:19" ht="15.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23"/>
      <c r="K145" s="3"/>
      <c r="L145" s="6"/>
      <c r="M145" s="5"/>
      <c r="O145" s="3"/>
      <c r="P145" s="3"/>
      <c r="Q145" s="3"/>
      <c r="R145" s="3"/>
      <c r="S145" s="3"/>
    </row>
    <row r="146" spans="1:19" ht="25" customHeight="1" x14ac:dyDescent="0.3">
      <c r="A146" s="3"/>
      <c r="B146" s="3"/>
      <c r="C146" s="3"/>
      <c r="D146" s="3"/>
      <c r="E146" s="3"/>
      <c r="F146" s="3" t="s">
        <v>35</v>
      </c>
      <c r="G146" s="3"/>
      <c r="H146" s="3"/>
      <c r="I146" s="3"/>
      <c r="J146" s="21"/>
      <c r="K146" s="3"/>
      <c r="L146" s="6"/>
      <c r="M146" s="5"/>
      <c r="O146" s="3"/>
      <c r="P146" s="3"/>
      <c r="Q146" s="3"/>
      <c r="R146" s="3"/>
      <c r="S146" s="3"/>
    </row>
    <row r="147" spans="1:19" ht="25" customHeight="1" x14ac:dyDescent="0.3">
      <c r="A147" s="7"/>
      <c r="B147" s="7"/>
      <c r="C147" s="7"/>
      <c r="D147" s="7"/>
      <c r="E147" s="7"/>
      <c r="F147" s="7"/>
      <c r="G147" s="7"/>
      <c r="H147" s="7" t="s">
        <v>55</v>
      </c>
      <c r="I147" s="10">
        <f>O147+P147+Q147+R147+S147</f>
        <v>131</v>
      </c>
      <c r="J147" s="19"/>
      <c r="K147" s="7"/>
      <c r="L147" s="9"/>
      <c r="M147" s="8"/>
      <c r="O147" s="7">
        <f>SUM(O8:O146)</f>
        <v>11</v>
      </c>
      <c r="P147" s="7">
        <f>SUM(P8:P146)</f>
        <v>67</v>
      </c>
      <c r="Q147" s="7">
        <f>SUM(Q8:Q146)</f>
        <v>42</v>
      </c>
      <c r="R147" s="7">
        <f>SUM(R8:R146)</f>
        <v>10</v>
      </c>
      <c r="S147" s="7">
        <f>SUM(S8:S146)</f>
        <v>1</v>
      </c>
    </row>
    <row r="148" spans="1:19" ht="25" customHeight="1" x14ac:dyDescent="0.3"/>
  </sheetData>
  <mergeCells count="6">
    <mergeCell ref="A1:I1"/>
    <mergeCell ref="A2:I2"/>
    <mergeCell ref="A3:I3"/>
    <mergeCell ref="A4:I4"/>
    <mergeCell ref="A6:I6"/>
    <mergeCell ref="A5:I5"/>
  </mergeCell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5819-D359-442C-A94B-C2D2A89BFE24}">
  <dimension ref="A1:S63"/>
  <sheetViews>
    <sheetView workbookViewId="0">
      <pane xSplit="8" ySplit="9" topLeftCell="I45" activePane="bottomRight" state="frozenSplit"/>
      <selection pane="topRight" activeCell="I1" sqref="I1"/>
      <selection pane="bottomLeft" activeCell="A10" sqref="A10"/>
      <selection pane="bottomRight" activeCell="D46" sqref="D46"/>
    </sheetView>
  </sheetViews>
  <sheetFormatPr baseColWidth="10" defaultColWidth="11.453125" defaultRowHeight="14" x14ac:dyDescent="0.3"/>
  <cols>
    <col min="1" max="1" width="11.453125" style="18"/>
    <col min="2" max="4" width="20.7265625" style="18" customWidth="1"/>
    <col min="5" max="5" width="11.453125" style="18"/>
    <col min="6" max="6" width="14" style="18" bestFit="1" customWidth="1"/>
    <col min="7" max="7" width="18.81640625" style="18" bestFit="1" customWidth="1"/>
    <col min="8" max="8" width="20.453125" style="18" hidden="1" customWidth="1"/>
    <col min="9" max="9" width="18.1796875" style="18" bestFit="1" customWidth="1"/>
    <col min="10" max="10" width="18.81640625" style="18" customWidth="1"/>
    <col min="11" max="11" width="18.1796875" style="18" hidden="1" customWidth="1"/>
    <col min="12" max="12" width="20.1796875" style="18" hidden="1" customWidth="1"/>
    <col min="13" max="13" width="18.1796875" style="18" hidden="1" customWidth="1"/>
    <col min="14" max="16384" width="11.453125" style="18"/>
  </cols>
  <sheetData>
    <row r="1" spans="1:19" ht="20.5" x14ac:dyDescent="0.45">
      <c r="A1" s="49" t="s">
        <v>9</v>
      </c>
      <c r="B1" s="49"/>
      <c r="C1" s="49"/>
      <c r="D1" s="49"/>
      <c r="E1" s="49"/>
      <c r="F1" s="49"/>
      <c r="G1" s="49"/>
      <c r="H1" s="49"/>
      <c r="I1" s="49"/>
    </row>
    <row r="2" spans="1:19" ht="20.5" x14ac:dyDescent="0.45">
      <c r="A2" s="49" t="s">
        <v>10</v>
      </c>
      <c r="B2" s="49"/>
      <c r="C2" s="49"/>
      <c r="D2" s="49"/>
      <c r="E2" s="49"/>
      <c r="F2" s="49"/>
      <c r="G2" s="49"/>
      <c r="H2" s="49"/>
      <c r="I2" s="49"/>
    </row>
    <row r="3" spans="1:19" ht="20.5" x14ac:dyDescent="0.45">
      <c r="A3" s="49" t="s">
        <v>11</v>
      </c>
      <c r="B3" s="49"/>
      <c r="C3" s="49"/>
      <c r="D3" s="49"/>
      <c r="E3" s="49"/>
      <c r="F3" s="49"/>
      <c r="G3" s="49"/>
      <c r="H3" s="49"/>
      <c r="I3" s="49"/>
    </row>
    <row r="4" spans="1:19" ht="25" customHeight="1" x14ac:dyDescent="0.3"/>
    <row r="5" spans="1:19" ht="18" x14ac:dyDescent="0.4">
      <c r="A5" s="50" t="s">
        <v>37</v>
      </c>
      <c r="B5" s="50"/>
      <c r="C5" s="50"/>
      <c r="D5" s="50"/>
      <c r="E5" s="50"/>
      <c r="F5" s="50"/>
      <c r="G5" s="50"/>
      <c r="H5" s="50"/>
      <c r="I5" s="50"/>
    </row>
    <row r="6" spans="1:19" ht="18" x14ac:dyDescent="0.4">
      <c r="A6" s="50" t="s">
        <v>19</v>
      </c>
      <c r="B6" s="50"/>
      <c r="C6" s="50"/>
      <c r="D6" s="50"/>
      <c r="E6" s="50"/>
      <c r="F6" s="50"/>
      <c r="G6" s="50"/>
      <c r="H6" s="50"/>
      <c r="I6" s="50"/>
    </row>
    <row r="7" spans="1:19" ht="18" x14ac:dyDescent="0.4">
      <c r="A7" s="51"/>
      <c r="B7" s="51"/>
      <c r="C7" s="51"/>
      <c r="D7" s="51"/>
      <c r="E7" s="51"/>
      <c r="F7" s="51"/>
      <c r="G7" s="51"/>
      <c r="H7" s="51"/>
      <c r="I7" s="51"/>
    </row>
    <row r="8" spans="1:19" ht="15.5" x14ac:dyDescent="0.35">
      <c r="A8" s="2" t="s">
        <v>6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7</v>
      </c>
      <c r="I8" s="2" t="s">
        <v>8</v>
      </c>
      <c r="J8" s="2" t="s">
        <v>316</v>
      </c>
      <c r="K8" s="2" t="s">
        <v>15</v>
      </c>
      <c r="L8" s="2" t="s">
        <v>16</v>
      </c>
      <c r="M8" s="2" t="s">
        <v>17</v>
      </c>
      <c r="O8" s="35" t="s">
        <v>29</v>
      </c>
      <c r="P8" s="35" t="s">
        <v>24</v>
      </c>
      <c r="Q8" s="35" t="s">
        <v>36</v>
      </c>
      <c r="R8" s="35" t="s">
        <v>66</v>
      </c>
      <c r="S8" s="35" t="s">
        <v>65</v>
      </c>
    </row>
    <row r="9" spans="1:19" ht="15.5" x14ac:dyDescent="0.3">
      <c r="A9" s="3"/>
      <c r="B9" s="3" t="s">
        <v>180</v>
      </c>
      <c r="C9" s="3" t="s">
        <v>181</v>
      </c>
      <c r="D9" s="3" t="s">
        <v>138</v>
      </c>
      <c r="E9" s="3">
        <v>53</v>
      </c>
      <c r="F9" s="3" t="s">
        <v>35</v>
      </c>
      <c r="G9" s="3" t="s">
        <v>36</v>
      </c>
      <c r="H9" s="3"/>
      <c r="I9" s="3"/>
      <c r="J9" s="22"/>
      <c r="K9" s="3" t="s">
        <v>67</v>
      </c>
      <c r="L9" s="3">
        <v>758247</v>
      </c>
      <c r="M9" s="20">
        <v>200</v>
      </c>
      <c r="O9" s="3"/>
      <c r="P9" s="3"/>
      <c r="Q9" s="3">
        <v>1</v>
      </c>
      <c r="R9" s="3"/>
      <c r="S9" s="3"/>
    </row>
    <row r="10" spans="1:19" ht="25" customHeight="1" x14ac:dyDescent="0.3">
      <c r="A10" s="3"/>
      <c r="B10" s="3" t="s">
        <v>171</v>
      </c>
      <c r="C10" s="3" t="s">
        <v>172</v>
      </c>
      <c r="D10" s="3" t="s">
        <v>170</v>
      </c>
      <c r="E10" s="3">
        <v>46</v>
      </c>
      <c r="F10" s="3" t="s">
        <v>35</v>
      </c>
      <c r="G10" s="3" t="s">
        <v>24</v>
      </c>
      <c r="H10" s="3"/>
      <c r="I10" s="3"/>
      <c r="J10" s="22"/>
      <c r="K10" s="3" t="s">
        <v>30</v>
      </c>
      <c r="L10" s="3"/>
      <c r="M10" s="20">
        <v>200</v>
      </c>
      <c r="O10" s="3"/>
      <c r="P10" s="3">
        <v>1</v>
      </c>
      <c r="Q10" s="3"/>
      <c r="R10" s="3"/>
      <c r="S10" s="3"/>
    </row>
    <row r="11" spans="1:19" ht="25" customHeight="1" x14ac:dyDescent="0.3">
      <c r="A11" s="3"/>
      <c r="B11" s="3" t="s">
        <v>173</v>
      </c>
      <c r="C11" s="3" t="s">
        <v>111</v>
      </c>
      <c r="D11" s="3" t="s">
        <v>174</v>
      </c>
      <c r="E11" s="3">
        <v>40</v>
      </c>
      <c r="F11" s="3" t="s">
        <v>35</v>
      </c>
      <c r="G11" s="3" t="s">
        <v>24</v>
      </c>
      <c r="H11" s="3"/>
      <c r="I11" s="3"/>
      <c r="J11" s="22"/>
      <c r="K11" s="3" t="s">
        <v>30</v>
      </c>
      <c r="L11" s="3">
        <v>89353066</v>
      </c>
      <c r="M11" s="20">
        <v>200</v>
      </c>
      <c r="O11" s="3"/>
      <c r="P11" s="3">
        <v>1</v>
      </c>
      <c r="Q11" s="3"/>
      <c r="R11" s="3"/>
      <c r="S11" s="3"/>
    </row>
    <row r="12" spans="1:19" ht="25" customHeight="1" x14ac:dyDescent="0.3">
      <c r="A12" s="3"/>
      <c r="B12" s="3" t="s">
        <v>299</v>
      </c>
      <c r="C12" s="3" t="s">
        <v>300</v>
      </c>
      <c r="D12" s="3" t="s">
        <v>258</v>
      </c>
      <c r="E12" s="3">
        <v>38</v>
      </c>
      <c r="F12" s="3" t="s">
        <v>256</v>
      </c>
      <c r="G12" s="3" t="s">
        <v>24</v>
      </c>
      <c r="H12" s="3"/>
      <c r="I12" s="3"/>
      <c r="J12" s="21"/>
      <c r="K12" s="3" t="s">
        <v>249</v>
      </c>
      <c r="L12" s="6" t="s">
        <v>301</v>
      </c>
      <c r="M12" s="20">
        <v>200</v>
      </c>
      <c r="O12" s="3"/>
      <c r="P12" s="3">
        <v>1</v>
      </c>
      <c r="Q12" s="3"/>
      <c r="R12" s="38"/>
      <c r="S12" s="3"/>
    </row>
    <row r="13" spans="1:19" ht="25" customHeight="1" x14ac:dyDescent="0.3">
      <c r="A13" s="3"/>
      <c r="B13" s="3" t="s">
        <v>302</v>
      </c>
      <c r="C13" s="3" t="s">
        <v>303</v>
      </c>
      <c r="D13" s="3" t="s">
        <v>304</v>
      </c>
      <c r="E13" s="3">
        <v>37</v>
      </c>
      <c r="F13" s="3" t="s">
        <v>256</v>
      </c>
      <c r="G13" s="3" t="s">
        <v>64</v>
      </c>
      <c r="H13" s="3"/>
      <c r="I13" s="3"/>
      <c r="J13" s="21"/>
      <c r="K13" s="3" t="s">
        <v>30</v>
      </c>
      <c r="L13" s="6">
        <v>80248874</v>
      </c>
      <c r="M13" s="20">
        <v>200</v>
      </c>
      <c r="O13" s="3"/>
      <c r="P13" s="3"/>
      <c r="Q13" s="3"/>
      <c r="R13" s="38">
        <v>1</v>
      </c>
      <c r="S13" s="3"/>
    </row>
    <row r="14" spans="1:19" ht="56" x14ac:dyDescent="0.3">
      <c r="A14" s="3"/>
      <c r="B14" s="45" t="s">
        <v>307</v>
      </c>
      <c r="C14" s="3" t="s">
        <v>111</v>
      </c>
      <c r="D14" s="3" t="s">
        <v>308</v>
      </c>
      <c r="E14" s="3">
        <v>36</v>
      </c>
      <c r="F14" s="3" t="s">
        <v>35</v>
      </c>
      <c r="G14" s="3" t="s">
        <v>24</v>
      </c>
      <c r="H14" s="3"/>
      <c r="I14" s="3"/>
      <c r="J14" s="46" t="s">
        <v>313</v>
      </c>
      <c r="K14" s="3" t="s">
        <v>309</v>
      </c>
      <c r="L14" s="6">
        <v>180913136200</v>
      </c>
      <c r="M14" s="20">
        <v>200</v>
      </c>
      <c r="O14" s="3"/>
      <c r="P14" s="3">
        <v>1</v>
      </c>
      <c r="Q14" s="3"/>
      <c r="R14" s="3"/>
      <c r="S14" s="3"/>
    </row>
    <row r="15" spans="1:19" ht="28" x14ac:dyDescent="0.3">
      <c r="A15" s="3"/>
      <c r="B15" s="3" t="s">
        <v>310</v>
      </c>
      <c r="C15" s="3" t="s">
        <v>311</v>
      </c>
      <c r="D15" s="3" t="s">
        <v>186</v>
      </c>
      <c r="E15" s="3">
        <v>39</v>
      </c>
      <c r="F15" s="3" t="s">
        <v>35</v>
      </c>
      <c r="G15" s="3" t="s">
        <v>29</v>
      </c>
      <c r="H15" s="3"/>
      <c r="I15" s="3"/>
      <c r="J15" s="46" t="s">
        <v>314</v>
      </c>
      <c r="K15" s="3" t="s">
        <v>83</v>
      </c>
      <c r="L15" s="3" t="s">
        <v>312</v>
      </c>
      <c r="M15" s="20">
        <v>200</v>
      </c>
      <c r="O15" s="3">
        <v>1</v>
      </c>
      <c r="P15" s="3"/>
      <c r="Q15" s="3"/>
      <c r="R15" s="3"/>
      <c r="S15" s="3"/>
    </row>
    <row r="16" spans="1:19" ht="25" customHeight="1" x14ac:dyDescent="0.3">
      <c r="A16" s="3"/>
      <c r="B16" s="3" t="s">
        <v>423</v>
      </c>
      <c r="C16" s="3" t="s">
        <v>88</v>
      </c>
      <c r="D16" s="3" t="s">
        <v>424</v>
      </c>
      <c r="E16" s="3">
        <v>49</v>
      </c>
      <c r="F16" s="3" t="s">
        <v>35</v>
      </c>
      <c r="G16" s="3" t="s">
        <v>24</v>
      </c>
      <c r="H16" s="3"/>
      <c r="I16" s="3"/>
      <c r="J16" s="46" t="s">
        <v>313</v>
      </c>
      <c r="K16" s="3" t="s">
        <v>48</v>
      </c>
      <c r="L16" s="6">
        <v>180037910987</v>
      </c>
      <c r="M16" s="20">
        <v>200</v>
      </c>
      <c r="O16" s="3"/>
      <c r="P16" s="3">
        <v>1</v>
      </c>
      <c r="Q16" s="3"/>
      <c r="R16" s="3"/>
      <c r="S16" s="3"/>
    </row>
    <row r="17" spans="1:19" ht="25" customHeight="1" x14ac:dyDescent="0.3">
      <c r="A17" s="3"/>
      <c r="B17" s="3" t="s">
        <v>492</v>
      </c>
      <c r="C17" s="3"/>
      <c r="D17" s="3"/>
      <c r="E17" s="3">
        <v>38</v>
      </c>
      <c r="F17" s="3" t="s">
        <v>35</v>
      </c>
      <c r="G17" s="3" t="s">
        <v>29</v>
      </c>
      <c r="H17" s="3"/>
      <c r="I17" s="3"/>
      <c r="J17" s="22" t="s">
        <v>491</v>
      </c>
      <c r="K17" s="3"/>
      <c r="L17" s="6"/>
      <c r="M17" s="20"/>
      <c r="O17" s="3">
        <v>1</v>
      </c>
      <c r="P17" s="3"/>
      <c r="Q17" s="3"/>
      <c r="R17" s="3"/>
      <c r="S17" s="3"/>
    </row>
    <row r="18" spans="1:19" ht="25" customHeight="1" x14ac:dyDescent="0.3">
      <c r="A18" s="3"/>
      <c r="B18" s="3" t="s">
        <v>493</v>
      </c>
      <c r="C18" s="3"/>
      <c r="D18" s="3"/>
      <c r="E18" s="3">
        <v>38</v>
      </c>
      <c r="F18" s="3" t="s">
        <v>35</v>
      </c>
      <c r="G18" s="3" t="s">
        <v>24</v>
      </c>
      <c r="H18" s="3"/>
      <c r="I18" s="3"/>
      <c r="J18" s="22" t="s">
        <v>491</v>
      </c>
      <c r="K18" s="3"/>
      <c r="L18" s="6"/>
      <c r="M18" s="20"/>
      <c r="O18" s="3"/>
      <c r="P18" s="3">
        <v>1</v>
      </c>
      <c r="Q18" s="3"/>
      <c r="R18" s="3"/>
      <c r="S18" s="3"/>
    </row>
    <row r="19" spans="1:19" ht="25" customHeight="1" x14ac:dyDescent="0.3">
      <c r="A19" s="3"/>
      <c r="B19" s="3" t="s">
        <v>513</v>
      </c>
      <c r="C19" s="3" t="s">
        <v>514</v>
      </c>
      <c r="D19" s="3" t="s">
        <v>515</v>
      </c>
      <c r="E19" s="3">
        <v>54</v>
      </c>
      <c r="F19" s="3" t="s">
        <v>35</v>
      </c>
      <c r="G19" s="3" t="s">
        <v>36</v>
      </c>
      <c r="H19" s="3"/>
      <c r="I19" s="3"/>
      <c r="J19" s="23" t="s">
        <v>516</v>
      </c>
      <c r="K19" s="3"/>
      <c r="L19" s="6"/>
      <c r="M19" s="20"/>
      <c r="O19" s="3"/>
      <c r="P19" s="3"/>
      <c r="Q19" s="3">
        <v>1</v>
      </c>
      <c r="R19" s="3"/>
      <c r="S19" s="3"/>
    </row>
    <row r="20" spans="1:19" ht="25" customHeight="1" x14ac:dyDescent="0.3">
      <c r="A20" s="3"/>
      <c r="B20" s="3" t="s">
        <v>566</v>
      </c>
      <c r="C20" s="3" t="s">
        <v>201</v>
      </c>
      <c r="D20" s="3" t="s">
        <v>177</v>
      </c>
      <c r="E20" s="3">
        <v>43</v>
      </c>
      <c r="F20" s="3" t="s">
        <v>35</v>
      </c>
      <c r="G20" s="3" t="s">
        <v>36</v>
      </c>
      <c r="H20" s="3"/>
      <c r="I20" s="3"/>
      <c r="J20" s="23" t="s">
        <v>567</v>
      </c>
      <c r="K20" s="3" t="s">
        <v>30</v>
      </c>
      <c r="L20" s="6">
        <v>1012492</v>
      </c>
      <c r="M20" s="20">
        <v>200</v>
      </c>
      <c r="O20" s="3"/>
      <c r="P20" s="3"/>
      <c r="Q20" s="3">
        <v>1</v>
      </c>
      <c r="R20" s="3"/>
      <c r="S20" s="3"/>
    </row>
    <row r="21" spans="1:19" ht="25" customHeight="1" x14ac:dyDescent="0.3">
      <c r="A21" s="3"/>
      <c r="B21" s="3" t="s">
        <v>622</v>
      </c>
      <c r="C21" s="3" t="s">
        <v>595</v>
      </c>
      <c r="D21" s="3" t="s">
        <v>623</v>
      </c>
      <c r="E21" s="3">
        <v>36</v>
      </c>
      <c r="F21" s="3" t="s">
        <v>35</v>
      </c>
      <c r="G21" s="3" t="s">
        <v>24</v>
      </c>
      <c r="H21" s="3"/>
      <c r="I21" s="3"/>
      <c r="J21" s="22" t="s">
        <v>624</v>
      </c>
      <c r="K21" s="3" t="s">
        <v>447</v>
      </c>
      <c r="L21" s="6" t="s">
        <v>625</v>
      </c>
      <c r="M21" s="20">
        <v>200</v>
      </c>
      <c r="O21" s="3"/>
      <c r="P21" s="3">
        <v>1</v>
      </c>
      <c r="Q21" s="3"/>
      <c r="R21" s="3"/>
      <c r="S21" s="3"/>
    </row>
    <row r="22" spans="1:19" ht="25" customHeight="1" x14ac:dyDescent="0.3">
      <c r="A22" s="3"/>
      <c r="B22" s="3" t="s">
        <v>629</v>
      </c>
      <c r="C22" s="3" t="s">
        <v>630</v>
      </c>
      <c r="D22" s="3" t="s">
        <v>458</v>
      </c>
      <c r="E22" s="3">
        <v>37</v>
      </c>
      <c r="F22" s="3" t="s">
        <v>35</v>
      </c>
      <c r="G22" s="3" t="s">
        <v>36</v>
      </c>
      <c r="H22" s="3"/>
      <c r="I22" s="3"/>
      <c r="J22" s="22" t="s">
        <v>631</v>
      </c>
      <c r="K22" s="3" t="s">
        <v>30</v>
      </c>
      <c r="L22" s="6">
        <v>9598440</v>
      </c>
      <c r="M22" s="20">
        <v>200</v>
      </c>
      <c r="O22" s="3"/>
      <c r="P22" s="3"/>
      <c r="Q22" s="3">
        <v>1</v>
      </c>
      <c r="R22" s="3"/>
      <c r="S22" s="3"/>
    </row>
    <row r="23" spans="1:19" ht="25" customHeight="1" x14ac:dyDescent="0.3">
      <c r="A23" s="3"/>
      <c r="B23" s="3" t="s">
        <v>635</v>
      </c>
      <c r="C23" s="3" t="s">
        <v>636</v>
      </c>
      <c r="D23" s="3" t="s">
        <v>186</v>
      </c>
      <c r="E23" s="3">
        <v>46</v>
      </c>
      <c r="F23" s="3" t="s">
        <v>35</v>
      </c>
      <c r="G23" s="3" t="s">
        <v>36</v>
      </c>
      <c r="H23" s="3"/>
      <c r="I23" s="3"/>
      <c r="J23" s="22" t="s">
        <v>637</v>
      </c>
      <c r="K23" s="3" t="s">
        <v>83</v>
      </c>
      <c r="L23" s="6" t="s">
        <v>638</v>
      </c>
      <c r="M23" s="20">
        <v>200</v>
      </c>
      <c r="O23" s="3"/>
      <c r="P23" s="3"/>
      <c r="Q23" s="3">
        <v>1</v>
      </c>
      <c r="R23" s="3"/>
      <c r="S23" s="3"/>
    </row>
    <row r="24" spans="1:19" ht="25" customHeight="1" x14ac:dyDescent="0.3">
      <c r="A24" s="3"/>
      <c r="B24" s="3" t="s">
        <v>644</v>
      </c>
      <c r="C24" s="3" t="s">
        <v>339</v>
      </c>
      <c r="D24" s="3" t="s">
        <v>201</v>
      </c>
      <c r="E24" s="3">
        <v>45</v>
      </c>
      <c r="F24" s="3" t="s">
        <v>35</v>
      </c>
      <c r="G24" s="3" t="s">
        <v>36</v>
      </c>
      <c r="H24" s="3"/>
      <c r="I24" s="3"/>
      <c r="J24" s="22" t="s">
        <v>645</v>
      </c>
      <c r="K24" s="3" t="s">
        <v>67</v>
      </c>
      <c r="L24" s="6">
        <v>353485</v>
      </c>
      <c r="M24" s="20">
        <v>200</v>
      </c>
      <c r="O24" s="3"/>
      <c r="P24" s="3"/>
      <c r="Q24" s="3">
        <v>1</v>
      </c>
      <c r="R24" s="3"/>
      <c r="S24" s="3"/>
    </row>
    <row r="25" spans="1:19" ht="25" customHeight="1" x14ac:dyDescent="0.3">
      <c r="A25" s="3"/>
      <c r="B25" s="3" t="s">
        <v>770</v>
      </c>
      <c r="C25" s="3" t="s">
        <v>91</v>
      </c>
      <c r="D25" s="3" t="s">
        <v>771</v>
      </c>
      <c r="E25" s="3">
        <v>49</v>
      </c>
      <c r="F25" s="3" t="s">
        <v>35</v>
      </c>
      <c r="G25" s="3" t="s">
        <v>36</v>
      </c>
      <c r="H25" s="3"/>
      <c r="I25" s="3"/>
      <c r="J25" s="3" t="s">
        <v>691</v>
      </c>
      <c r="K25" s="3"/>
      <c r="L25" s="6"/>
      <c r="M25" s="20"/>
      <c r="O25" s="3"/>
      <c r="P25" s="3"/>
      <c r="Q25" s="3">
        <v>1</v>
      </c>
      <c r="R25" s="3"/>
      <c r="S25" s="3"/>
    </row>
    <row r="26" spans="1:19" ht="25" customHeight="1" x14ac:dyDescent="0.3">
      <c r="A26" s="3"/>
      <c r="B26" s="3" t="s">
        <v>992</v>
      </c>
      <c r="C26" s="3" t="s">
        <v>871</v>
      </c>
      <c r="D26" s="3" t="s">
        <v>126</v>
      </c>
      <c r="E26" s="3">
        <v>50</v>
      </c>
      <c r="F26" s="3"/>
      <c r="G26" s="3" t="s">
        <v>29</v>
      </c>
      <c r="H26" s="3"/>
      <c r="I26" s="3"/>
      <c r="J26" s="3" t="s">
        <v>565</v>
      </c>
      <c r="K26" s="3"/>
      <c r="L26" s="6"/>
      <c r="M26" s="20"/>
      <c r="O26" s="3">
        <v>1</v>
      </c>
      <c r="P26" s="3"/>
      <c r="Q26" s="3"/>
      <c r="R26" s="3"/>
      <c r="S26" s="3"/>
    </row>
    <row r="27" spans="1:19" ht="25" customHeight="1" x14ac:dyDescent="0.3">
      <c r="A27" s="3"/>
      <c r="B27" s="3" t="s">
        <v>1000</v>
      </c>
      <c r="C27" s="3" t="s">
        <v>1001</v>
      </c>
      <c r="D27" s="3" t="s">
        <v>251</v>
      </c>
      <c r="E27" s="3">
        <v>57</v>
      </c>
      <c r="F27" s="3"/>
      <c r="G27" s="3" t="s">
        <v>36</v>
      </c>
      <c r="H27" s="3"/>
      <c r="I27" s="3"/>
      <c r="J27" s="3" t="s">
        <v>565</v>
      </c>
      <c r="K27" s="3"/>
      <c r="L27" s="6"/>
      <c r="M27" s="20"/>
      <c r="O27" s="3"/>
      <c r="P27" s="3"/>
      <c r="Q27" s="3">
        <v>1</v>
      </c>
      <c r="R27" s="3"/>
      <c r="S27" s="3"/>
    </row>
    <row r="28" spans="1:19" ht="33.75" customHeight="1" x14ac:dyDescent="0.3">
      <c r="A28" s="3"/>
      <c r="B28" s="3" t="s">
        <v>1015</v>
      </c>
      <c r="C28" s="3" t="s">
        <v>969</v>
      </c>
      <c r="D28" s="3" t="s">
        <v>1017</v>
      </c>
      <c r="E28" s="3">
        <v>41</v>
      </c>
      <c r="F28" s="3"/>
      <c r="G28" s="3" t="s">
        <v>36</v>
      </c>
      <c r="H28" s="3"/>
      <c r="I28" s="3"/>
      <c r="J28" s="3" t="s">
        <v>996</v>
      </c>
      <c r="K28" s="7"/>
      <c r="L28" s="6"/>
      <c r="M28" s="20"/>
      <c r="O28" s="3"/>
      <c r="P28" s="3"/>
      <c r="Q28" s="3">
        <v>1</v>
      </c>
      <c r="R28" s="3"/>
      <c r="S28" s="3"/>
    </row>
    <row r="29" spans="1:19" ht="25" customHeight="1" x14ac:dyDescent="0.3">
      <c r="A29" s="3"/>
      <c r="B29" s="3" t="s">
        <v>1052</v>
      </c>
      <c r="C29" s="3" t="s">
        <v>558</v>
      </c>
      <c r="D29" s="3" t="s">
        <v>1053</v>
      </c>
      <c r="E29" s="3">
        <v>44</v>
      </c>
      <c r="F29" s="3"/>
      <c r="G29" s="3" t="s">
        <v>24</v>
      </c>
      <c r="H29" s="3"/>
      <c r="I29" s="3"/>
      <c r="J29" s="3" t="s">
        <v>1051</v>
      </c>
      <c r="K29" s="3"/>
      <c r="L29" s="6"/>
      <c r="M29" s="20"/>
      <c r="O29" s="3"/>
      <c r="P29" s="3">
        <v>1</v>
      </c>
      <c r="Q29" s="3"/>
      <c r="R29" s="3"/>
      <c r="S29" s="3"/>
    </row>
    <row r="30" spans="1:19" ht="25" customHeight="1" x14ac:dyDescent="0.3">
      <c r="A30" s="3"/>
      <c r="B30" s="3" t="s">
        <v>832</v>
      </c>
      <c r="C30" s="3" t="s">
        <v>214</v>
      </c>
      <c r="D30" s="3" t="s">
        <v>189</v>
      </c>
      <c r="E30" s="3">
        <v>47</v>
      </c>
      <c r="F30" s="3" t="s">
        <v>35</v>
      </c>
      <c r="G30" s="3" t="s">
        <v>24</v>
      </c>
      <c r="H30" s="3"/>
      <c r="I30" s="3"/>
      <c r="J30" s="22" t="s">
        <v>567</v>
      </c>
      <c r="K30" s="3"/>
      <c r="L30" s="6"/>
      <c r="M30" s="20"/>
      <c r="O30" s="3"/>
      <c r="P30" s="3">
        <v>1</v>
      </c>
      <c r="Q30" s="3"/>
      <c r="R30" s="3"/>
      <c r="S30" s="3"/>
    </row>
    <row r="31" spans="1:19" ht="25" customHeight="1" x14ac:dyDescent="0.3">
      <c r="A31" s="3"/>
      <c r="B31" s="3" t="s">
        <v>852</v>
      </c>
      <c r="C31" s="3" t="s">
        <v>853</v>
      </c>
      <c r="D31" s="3" t="s">
        <v>854</v>
      </c>
      <c r="E31" s="3">
        <v>49</v>
      </c>
      <c r="F31" s="3" t="s">
        <v>35</v>
      </c>
      <c r="G31" s="3" t="s">
        <v>24</v>
      </c>
      <c r="H31" s="3"/>
      <c r="I31" s="3"/>
      <c r="J31" s="22" t="s">
        <v>567</v>
      </c>
      <c r="K31" s="3"/>
      <c r="L31" s="6"/>
      <c r="M31" s="20"/>
      <c r="O31" s="3"/>
      <c r="P31" s="3">
        <v>1</v>
      </c>
      <c r="Q31" s="3"/>
      <c r="R31" s="3"/>
      <c r="S31" s="3"/>
    </row>
    <row r="32" spans="1:19" ht="25" customHeight="1" x14ac:dyDescent="0.3">
      <c r="A32" s="3"/>
      <c r="B32" s="3" t="s">
        <v>813</v>
      </c>
      <c r="C32" s="3" t="s">
        <v>306</v>
      </c>
      <c r="D32" s="3" t="s">
        <v>865</v>
      </c>
      <c r="E32" s="3">
        <v>38</v>
      </c>
      <c r="F32" s="3" t="s">
        <v>35</v>
      </c>
      <c r="G32" s="3" t="s">
        <v>24</v>
      </c>
      <c r="H32" s="3"/>
      <c r="I32" s="3"/>
      <c r="J32" s="22" t="s">
        <v>631</v>
      </c>
      <c r="K32" s="3"/>
      <c r="L32" s="6"/>
      <c r="M32" s="20"/>
      <c r="O32" s="3"/>
      <c r="P32" s="3">
        <v>1</v>
      </c>
      <c r="Q32" s="3"/>
      <c r="R32" s="3"/>
      <c r="S32" s="3"/>
    </row>
    <row r="33" spans="1:19" ht="25" customHeight="1" x14ac:dyDescent="0.3">
      <c r="A33" s="3"/>
      <c r="B33" s="3" t="s">
        <v>903</v>
      </c>
      <c r="C33" s="3" t="s">
        <v>904</v>
      </c>
      <c r="D33" s="3" t="s">
        <v>583</v>
      </c>
      <c r="E33" s="3">
        <v>34</v>
      </c>
      <c r="F33" s="3" t="s">
        <v>35</v>
      </c>
      <c r="G33" s="3" t="s">
        <v>36</v>
      </c>
      <c r="H33" s="3"/>
      <c r="I33" s="3"/>
      <c r="J33" s="22"/>
      <c r="K33" s="3"/>
      <c r="L33" s="6"/>
      <c r="M33" s="20"/>
      <c r="O33" s="3"/>
      <c r="P33" s="3"/>
      <c r="Q33" s="3">
        <v>1</v>
      </c>
      <c r="R33" s="3"/>
      <c r="S33" s="3"/>
    </row>
    <row r="34" spans="1:19" ht="25" customHeight="1" x14ac:dyDescent="0.3">
      <c r="A34" s="3"/>
      <c r="B34" s="3" t="s">
        <v>513</v>
      </c>
      <c r="C34" s="3" t="s">
        <v>227</v>
      </c>
      <c r="D34" s="3" t="s">
        <v>859</v>
      </c>
      <c r="E34" s="3">
        <v>54</v>
      </c>
      <c r="F34" s="3" t="s">
        <v>35</v>
      </c>
      <c r="G34" s="3" t="s">
        <v>36</v>
      </c>
      <c r="H34" s="3"/>
      <c r="I34" s="3"/>
      <c r="J34" s="22" t="s">
        <v>565</v>
      </c>
      <c r="K34" s="3"/>
      <c r="L34" s="6"/>
      <c r="M34" s="20"/>
      <c r="O34" s="3"/>
      <c r="P34" s="3"/>
      <c r="Q34" s="3">
        <v>1</v>
      </c>
      <c r="R34" s="3"/>
      <c r="S34" s="3"/>
    </row>
    <row r="35" spans="1:19" ht="28" x14ac:dyDescent="0.3">
      <c r="A35" s="3"/>
      <c r="B35" s="3" t="s">
        <v>875</v>
      </c>
      <c r="C35" s="3" t="s">
        <v>354</v>
      </c>
      <c r="D35" s="3" t="s">
        <v>354</v>
      </c>
      <c r="E35" s="3">
        <v>49</v>
      </c>
      <c r="F35" s="3" t="s">
        <v>35</v>
      </c>
      <c r="G35" s="3" t="s">
        <v>24</v>
      </c>
      <c r="H35" s="3"/>
      <c r="I35" s="3"/>
      <c r="J35" s="23" t="s">
        <v>565</v>
      </c>
      <c r="K35" s="3"/>
      <c r="L35" s="6"/>
      <c r="M35" s="20"/>
      <c r="O35" s="3"/>
      <c r="P35" s="3">
        <v>1</v>
      </c>
      <c r="Q35" s="3"/>
      <c r="R35" s="3"/>
      <c r="S35" s="3"/>
    </row>
    <row r="36" spans="1:19" ht="28" x14ac:dyDescent="0.3">
      <c r="A36" s="3"/>
      <c r="B36" s="3" t="s">
        <v>896</v>
      </c>
      <c r="C36" s="3" t="s">
        <v>897</v>
      </c>
      <c r="D36" s="3" t="s">
        <v>559</v>
      </c>
      <c r="E36" s="3">
        <v>46</v>
      </c>
      <c r="F36" s="3" t="s">
        <v>35</v>
      </c>
      <c r="G36" s="3" t="s">
        <v>24</v>
      </c>
      <c r="H36" s="3"/>
      <c r="I36" s="3"/>
      <c r="J36" s="23" t="s">
        <v>565</v>
      </c>
      <c r="K36" s="3"/>
      <c r="L36" s="6"/>
      <c r="M36" s="20"/>
      <c r="O36" s="3"/>
      <c r="P36" s="3">
        <v>1</v>
      </c>
      <c r="Q36" s="3"/>
      <c r="R36" s="3"/>
      <c r="S36" s="3"/>
    </row>
    <row r="37" spans="1:19" ht="15.5" x14ac:dyDescent="0.3">
      <c r="A37" s="3"/>
      <c r="B37" s="3" t="s">
        <v>899</v>
      </c>
      <c r="C37" s="3" t="s">
        <v>900</v>
      </c>
      <c r="D37" s="3" t="s">
        <v>901</v>
      </c>
      <c r="E37" s="3">
        <v>40</v>
      </c>
      <c r="F37" s="3" t="s">
        <v>35</v>
      </c>
      <c r="G37" s="3" t="s">
        <v>29</v>
      </c>
      <c r="H37" s="3"/>
      <c r="I37" s="3"/>
      <c r="J37" s="23" t="s">
        <v>902</v>
      </c>
      <c r="K37" s="3"/>
      <c r="L37" s="6"/>
      <c r="M37" s="20"/>
      <c r="O37" s="3">
        <v>1</v>
      </c>
      <c r="P37" s="3"/>
      <c r="Q37" s="3"/>
      <c r="R37" s="3"/>
      <c r="S37" s="3"/>
    </row>
    <row r="38" spans="1:19" ht="25" customHeight="1" x14ac:dyDescent="0.3">
      <c r="A38" s="3"/>
      <c r="B38" s="3" t="s">
        <v>1126</v>
      </c>
      <c r="C38" s="3" t="s">
        <v>342</v>
      </c>
      <c r="D38" s="3" t="s">
        <v>1295</v>
      </c>
      <c r="E38" s="3">
        <v>38</v>
      </c>
      <c r="F38" s="3" t="s">
        <v>35</v>
      </c>
      <c r="G38" s="3" t="s">
        <v>24</v>
      </c>
      <c r="H38" s="3"/>
      <c r="I38" s="3"/>
      <c r="J38" s="25" t="s">
        <v>1196</v>
      </c>
      <c r="K38" s="3"/>
      <c r="L38" s="6"/>
      <c r="M38" s="20"/>
      <c r="O38" s="3"/>
      <c r="P38" s="3">
        <v>1</v>
      </c>
      <c r="Q38" s="3"/>
      <c r="R38" s="3"/>
      <c r="S38" s="3"/>
    </row>
    <row r="39" spans="1:19" ht="25" customHeight="1" x14ac:dyDescent="0.3">
      <c r="A39" s="3"/>
      <c r="B39" s="3" t="s">
        <v>1296</v>
      </c>
      <c r="C39" s="3" t="s">
        <v>143</v>
      </c>
      <c r="D39" s="3" t="s">
        <v>1297</v>
      </c>
      <c r="E39" s="3">
        <v>53</v>
      </c>
      <c r="F39" s="3" t="s">
        <v>35</v>
      </c>
      <c r="G39" s="3" t="s">
        <v>1201</v>
      </c>
      <c r="H39" s="3"/>
      <c r="I39" s="3"/>
      <c r="J39" s="25" t="s">
        <v>1196</v>
      </c>
      <c r="K39" s="3"/>
      <c r="L39" s="6"/>
      <c r="M39" s="20"/>
      <c r="O39" s="3"/>
      <c r="P39" s="3"/>
      <c r="Q39" s="3"/>
      <c r="R39" s="3"/>
      <c r="S39" s="3">
        <v>1</v>
      </c>
    </row>
    <row r="40" spans="1:19" ht="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22"/>
      <c r="K40" s="3"/>
      <c r="L40" s="6"/>
      <c r="M40" s="20"/>
      <c r="O40" s="3"/>
      <c r="P40" s="3"/>
      <c r="Q40" s="3"/>
      <c r="R40" s="3"/>
      <c r="S40" s="3"/>
    </row>
    <row r="41" spans="1:19" ht="25" customHeight="1" x14ac:dyDescent="0.3">
      <c r="A41" s="3"/>
      <c r="B41" s="3" t="s">
        <v>1455</v>
      </c>
      <c r="C41" s="3" t="s">
        <v>1456</v>
      </c>
      <c r="D41" s="3" t="s">
        <v>375</v>
      </c>
      <c r="E41" s="3">
        <v>38</v>
      </c>
      <c r="F41" s="3" t="s">
        <v>35</v>
      </c>
      <c r="G41" s="3" t="s">
        <v>24</v>
      </c>
      <c r="H41" s="3"/>
      <c r="I41" s="3"/>
      <c r="J41" s="24" t="s">
        <v>1459</v>
      </c>
      <c r="K41" s="3"/>
      <c r="L41" s="6"/>
      <c r="M41" s="20"/>
      <c r="O41" s="3"/>
      <c r="P41" s="3">
        <v>1</v>
      </c>
      <c r="Q41" s="3"/>
      <c r="R41" s="3"/>
      <c r="S41" s="3"/>
    </row>
    <row r="42" spans="1:19" ht="25" customHeight="1" x14ac:dyDescent="0.3">
      <c r="A42" s="3"/>
      <c r="B42" s="3" t="s">
        <v>1457</v>
      </c>
      <c r="C42" s="3" t="s">
        <v>1458</v>
      </c>
      <c r="D42" s="3" t="s">
        <v>27</v>
      </c>
      <c r="E42" s="3">
        <v>40</v>
      </c>
      <c r="F42" s="3" t="s">
        <v>35</v>
      </c>
      <c r="G42" s="3" t="s">
        <v>36</v>
      </c>
      <c r="H42" s="3"/>
      <c r="I42" s="3"/>
      <c r="J42" s="24" t="s">
        <v>1459</v>
      </c>
      <c r="K42" s="3"/>
      <c r="L42" s="6"/>
      <c r="M42" s="20"/>
      <c r="O42" s="3"/>
      <c r="P42" s="3"/>
      <c r="Q42" s="3">
        <v>1</v>
      </c>
      <c r="R42" s="3"/>
      <c r="S42" s="3"/>
    </row>
    <row r="43" spans="1:19" ht="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22"/>
      <c r="K43" s="3"/>
      <c r="L43" s="6"/>
      <c r="M43" s="20"/>
      <c r="O43" s="3"/>
      <c r="P43" s="3"/>
      <c r="Q43" s="3"/>
      <c r="R43" s="3"/>
      <c r="S43" s="3"/>
    </row>
    <row r="44" spans="1:19" ht="25" customHeight="1" x14ac:dyDescent="0.3">
      <c r="A44" s="3"/>
      <c r="B44" s="3" t="s">
        <v>1497</v>
      </c>
      <c r="C44" s="3" t="s">
        <v>1498</v>
      </c>
      <c r="D44" s="3" t="s">
        <v>671</v>
      </c>
      <c r="E44" s="3">
        <v>48</v>
      </c>
      <c r="F44" s="3" t="s">
        <v>35</v>
      </c>
      <c r="G44" s="3" t="s">
        <v>24</v>
      </c>
      <c r="H44" s="3"/>
      <c r="I44" s="3"/>
      <c r="J44" s="22" t="s">
        <v>1153</v>
      </c>
      <c r="K44" s="3"/>
      <c r="L44" s="6"/>
      <c r="M44" s="20"/>
      <c r="O44" s="3"/>
      <c r="P44" s="3">
        <v>1</v>
      </c>
      <c r="Q44" s="3"/>
      <c r="R44" s="3"/>
      <c r="S44" s="3"/>
    </row>
    <row r="45" spans="1:19" ht="25" customHeight="1" x14ac:dyDescent="0.3">
      <c r="A45" s="3"/>
      <c r="B45" s="3" t="s">
        <v>1500</v>
      </c>
      <c r="C45" s="3" t="s">
        <v>515</v>
      </c>
      <c r="D45" s="3" t="s">
        <v>1501</v>
      </c>
      <c r="E45" s="3">
        <v>52</v>
      </c>
      <c r="F45" s="3" t="s">
        <v>35</v>
      </c>
      <c r="G45" s="3" t="s">
        <v>24</v>
      </c>
      <c r="H45" s="3"/>
      <c r="I45" s="3"/>
      <c r="J45" s="22" t="s">
        <v>1502</v>
      </c>
      <c r="K45" s="3"/>
      <c r="L45" s="6"/>
      <c r="M45" s="20"/>
      <c r="O45" s="3"/>
      <c r="P45" s="3">
        <v>1</v>
      </c>
      <c r="Q45" s="3"/>
      <c r="R45" s="3"/>
      <c r="S45" s="3"/>
    </row>
    <row r="46" spans="1:19" ht="25" customHeight="1" x14ac:dyDescent="0.3">
      <c r="A46" s="3"/>
      <c r="B46" s="3" t="s">
        <v>1667</v>
      </c>
      <c r="C46" s="3" t="s">
        <v>1668</v>
      </c>
      <c r="D46" s="3" t="s">
        <v>1669</v>
      </c>
      <c r="E46" s="3">
        <v>36</v>
      </c>
      <c r="F46" s="3" t="s">
        <v>35</v>
      </c>
      <c r="G46" s="3" t="s">
        <v>36</v>
      </c>
      <c r="H46" s="3"/>
      <c r="I46" s="3"/>
      <c r="J46" s="22" t="s">
        <v>1618</v>
      </c>
      <c r="K46" s="3"/>
      <c r="L46" s="6"/>
      <c r="M46" s="20"/>
      <c r="O46" s="3"/>
      <c r="P46" s="3"/>
      <c r="Q46" s="3">
        <v>1</v>
      </c>
      <c r="R46" s="3"/>
      <c r="S46" s="3"/>
    </row>
    <row r="47" spans="1:19" ht="25" customHeight="1" x14ac:dyDescent="0.3">
      <c r="A47" s="3"/>
      <c r="B47" s="3" t="s">
        <v>1687</v>
      </c>
      <c r="C47" s="3" t="s">
        <v>1688</v>
      </c>
      <c r="D47" s="3" t="s">
        <v>1689</v>
      </c>
      <c r="E47" s="3">
        <v>44</v>
      </c>
      <c r="F47" s="3" t="s">
        <v>35</v>
      </c>
      <c r="G47" s="3" t="s">
        <v>24</v>
      </c>
      <c r="H47" s="3"/>
      <c r="I47" s="3"/>
      <c r="J47" s="22" t="s">
        <v>1690</v>
      </c>
      <c r="K47" s="3"/>
      <c r="L47" s="6"/>
      <c r="M47" s="20"/>
      <c r="O47" s="3"/>
      <c r="P47" s="3">
        <v>1</v>
      </c>
      <c r="Q47" s="3"/>
      <c r="R47" s="3"/>
      <c r="S47" s="3"/>
    </row>
    <row r="48" spans="1:19" ht="25" customHeight="1" x14ac:dyDescent="0.3">
      <c r="A48" s="3"/>
      <c r="B48" s="3" t="s">
        <v>1723</v>
      </c>
      <c r="C48" s="3" t="s">
        <v>1724</v>
      </c>
      <c r="D48" s="3" t="s">
        <v>1725</v>
      </c>
      <c r="E48" s="3">
        <v>56</v>
      </c>
      <c r="F48" s="3" t="s">
        <v>35</v>
      </c>
      <c r="G48" s="3" t="s">
        <v>24</v>
      </c>
      <c r="H48" s="3"/>
      <c r="I48" s="3"/>
      <c r="J48" s="22" t="s">
        <v>1726</v>
      </c>
      <c r="K48" s="3"/>
      <c r="L48" s="6"/>
      <c r="M48" s="20"/>
      <c r="O48" s="3"/>
      <c r="P48" s="3">
        <v>1</v>
      </c>
      <c r="Q48" s="3"/>
      <c r="R48" s="3"/>
      <c r="S48" s="3"/>
    </row>
    <row r="49" spans="1:19" ht="25" customHeight="1" x14ac:dyDescent="0.3">
      <c r="A49" s="3"/>
      <c r="B49" s="3" t="s">
        <v>1787</v>
      </c>
      <c r="C49" s="3" t="s">
        <v>1788</v>
      </c>
      <c r="D49" s="3" t="s">
        <v>1789</v>
      </c>
      <c r="E49" s="3">
        <v>41</v>
      </c>
      <c r="F49" s="3" t="s">
        <v>35</v>
      </c>
      <c r="G49" s="3" t="s">
        <v>24</v>
      </c>
      <c r="H49" s="3"/>
      <c r="I49" s="3"/>
      <c r="J49" s="22" t="s">
        <v>1790</v>
      </c>
      <c r="K49" s="3"/>
      <c r="L49" s="6"/>
      <c r="M49" s="20"/>
      <c r="O49" s="3"/>
      <c r="P49" s="3">
        <v>1</v>
      </c>
      <c r="Q49" s="3"/>
      <c r="R49" s="3"/>
      <c r="S49" s="3"/>
    </row>
    <row r="50" spans="1:19" ht="25" customHeight="1" x14ac:dyDescent="0.3">
      <c r="A50" s="3"/>
      <c r="B50" s="3" t="s">
        <v>1853</v>
      </c>
      <c r="C50" s="3" t="s">
        <v>528</v>
      </c>
      <c r="D50" s="3" t="s">
        <v>529</v>
      </c>
      <c r="E50" s="3">
        <v>36</v>
      </c>
      <c r="F50" s="3" t="s">
        <v>35</v>
      </c>
      <c r="G50" s="3" t="s">
        <v>64</v>
      </c>
      <c r="H50" s="3"/>
      <c r="I50" s="3"/>
      <c r="J50" s="22" t="s">
        <v>1854</v>
      </c>
      <c r="K50" s="3"/>
      <c r="L50" s="6"/>
      <c r="M50" s="20"/>
      <c r="O50" s="3"/>
      <c r="P50" s="3"/>
      <c r="Q50" s="3"/>
      <c r="R50" s="3">
        <v>1</v>
      </c>
      <c r="S50" s="3"/>
    </row>
    <row r="51" spans="1:19" ht="25" customHeight="1" x14ac:dyDescent="0.3">
      <c r="A51" s="3"/>
      <c r="B51" s="3" t="s">
        <v>2150</v>
      </c>
      <c r="C51" s="3" t="s">
        <v>352</v>
      </c>
      <c r="D51" s="3" t="s">
        <v>111</v>
      </c>
      <c r="E51" s="3">
        <v>41</v>
      </c>
      <c r="F51" s="3" t="s">
        <v>35</v>
      </c>
      <c r="G51" s="3" t="s">
        <v>36</v>
      </c>
      <c r="H51" s="3"/>
      <c r="I51" s="3"/>
      <c r="J51" s="3" t="s">
        <v>2085</v>
      </c>
      <c r="K51" s="3"/>
      <c r="L51" s="6"/>
      <c r="M51" s="20"/>
      <c r="O51" s="3"/>
      <c r="P51" s="3"/>
      <c r="Q51" s="3">
        <v>1</v>
      </c>
      <c r="R51" s="3"/>
      <c r="S51" s="3"/>
    </row>
    <row r="52" spans="1:19" ht="25" customHeight="1" x14ac:dyDescent="0.3">
      <c r="A52" s="3"/>
      <c r="B52" s="3" t="s">
        <v>2151</v>
      </c>
      <c r="C52" s="3" t="s">
        <v>228</v>
      </c>
      <c r="D52" s="3" t="s">
        <v>306</v>
      </c>
      <c r="E52" s="3">
        <v>38</v>
      </c>
      <c r="F52" s="3" t="s">
        <v>35</v>
      </c>
      <c r="G52" s="3" t="s">
        <v>24</v>
      </c>
      <c r="H52" s="3"/>
      <c r="I52" s="3"/>
      <c r="J52" s="3" t="s">
        <v>2160</v>
      </c>
      <c r="K52" s="3"/>
      <c r="L52" s="6"/>
      <c r="M52" s="20"/>
      <c r="O52" s="3"/>
      <c r="P52" s="3">
        <v>1</v>
      </c>
      <c r="Q52" s="3"/>
      <c r="R52" s="3"/>
      <c r="S52" s="3"/>
    </row>
    <row r="53" spans="1:19" ht="25" customHeight="1" x14ac:dyDescent="0.3">
      <c r="A53" s="3"/>
      <c r="B53" s="3" t="s">
        <v>2152</v>
      </c>
      <c r="C53" s="3" t="s">
        <v>937</v>
      </c>
      <c r="D53" s="3" t="s">
        <v>21</v>
      </c>
      <c r="E53" s="3">
        <v>48</v>
      </c>
      <c r="F53" s="3" t="s">
        <v>35</v>
      </c>
      <c r="G53" s="3" t="s">
        <v>36</v>
      </c>
      <c r="H53" s="3"/>
      <c r="I53" s="3"/>
      <c r="J53" s="3" t="s">
        <v>2161</v>
      </c>
      <c r="K53" s="3"/>
      <c r="L53" s="6"/>
      <c r="M53" s="20"/>
      <c r="O53" s="3"/>
      <c r="P53" s="3"/>
      <c r="Q53" s="3">
        <v>1</v>
      </c>
      <c r="R53" s="3"/>
      <c r="S53" s="3"/>
    </row>
    <row r="54" spans="1:19" ht="25" customHeight="1" x14ac:dyDescent="0.3">
      <c r="A54" s="3"/>
      <c r="B54" s="3" t="s">
        <v>305</v>
      </c>
      <c r="C54" s="3" t="s">
        <v>96</v>
      </c>
      <c r="D54" s="3" t="s">
        <v>1979</v>
      </c>
      <c r="E54" s="3">
        <v>38</v>
      </c>
      <c r="F54" s="3" t="s">
        <v>35</v>
      </c>
      <c r="G54" s="3" t="s">
        <v>29</v>
      </c>
      <c r="H54" s="3"/>
      <c r="I54" s="3"/>
      <c r="J54" s="3" t="s">
        <v>2162</v>
      </c>
      <c r="K54" s="3"/>
      <c r="L54" s="6"/>
      <c r="M54" s="20"/>
      <c r="O54" s="3">
        <v>1</v>
      </c>
      <c r="P54" s="3"/>
      <c r="Q54" s="3"/>
      <c r="R54" s="3"/>
      <c r="S54" s="3"/>
    </row>
    <row r="55" spans="1:19" ht="25" customHeight="1" x14ac:dyDescent="0.3">
      <c r="A55" s="3"/>
      <c r="B55" s="3" t="s">
        <v>2153</v>
      </c>
      <c r="C55" s="3" t="s">
        <v>2154</v>
      </c>
      <c r="D55" s="3" t="s">
        <v>1302</v>
      </c>
      <c r="E55" s="3">
        <v>54</v>
      </c>
      <c r="F55" s="3" t="s">
        <v>35</v>
      </c>
      <c r="G55" s="3" t="s">
        <v>36</v>
      </c>
      <c r="H55" s="3"/>
      <c r="I55" s="3"/>
      <c r="J55" s="3" t="s">
        <v>2004</v>
      </c>
      <c r="K55" s="3"/>
      <c r="L55" s="6"/>
      <c r="M55" s="20"/>
      <c r="O55" s="3"/>
      <c r="P55" s="3"/>
      <c r="Q55" s="3">
        <v>1</v>
      </c>
      <c r="R55" s="3"/>
      <c r="S55" s="3"/>
    </row>
    <row r="56" spans="1:19" ht="25" customHeight="1" x14ac:dyDescent="0.3">
      <c r="A56" s="3"/>
      <c r="B56" s="3" t="s">
        <v>2155</v>
      </c>
      <c r="C56" s="3" t="s">
        <v>795</v>
      </c>
      <c r="D56" s="3" t="s">
        <v>1368</v>
      </c>
      <c r="E56" s="3">
        <v>39</v>
      </c>
      <c r="F56" s="3" t="s">
        <v>35</v>
      </c>
      <c r="G56" s="3" t="s">
        <v>36</v>
      </c>
      <c r="H56" s="3"/>
      <c r="I56" s="3"/>
      <c r="J56" s="3" t="s">
        <v>2163</v>
      </c>
      <c r="K56" s="3"/>
      <c r="L56" s="6"/>
      <c r="M56" s="20"/>
      <c r="O56" s="3"/>
      <c r="P56" s="3"/>
      <c r="Q56" s="3">
        <v>1</v>
      </c>
      <c r="R56" s="3"/>
      <c r="S56" s="3"/>
    </row>
    <row r="57" spans="1:19" ht="25" customHeight="1" x14ac:dyDescent="0.3">
      <c r="A57" s="3"/>
      <c r="B57" s="41" t="s">
        <v>2156</v>
      </c>
      <c r="C57" s="41" t="s">
        <v>228</v>
      </c>
      <c r="D57" s="41" t="s">
        <v>935</v>
      </c>
      <c r="E57" s="42">
        <v>50</v>
      </c>
      <c r="F57" s="3" t="s">
        <v>35</v>
      </c>
      <c r="G57" s="3" t="s">
        <v>36</v>
      </c>
      <c r="H57" s="3"/>
      <c r="I57" s="3"/>
      <c r="J57" s="3" t="s">
        <v>2005</v>
      </c>
      <c r="K57" s="3"/>
      <c r="L57" s="6"/>
      <c r="M57" s="20"/>
      <c r="O57" s="3"/>
      <c r="P57" s="3"/>
      <c r="Q57" s="3">
        <v>1</v>
      </c>
      <c r="R57" s="3"/>
      <c r="S57" s="3"/>
    </row>
    <row r="58" spans="1:19" ht="25" customHeight="1" x14ac:dyDescent="0.3">
      <c r="A58" s="3"/>
      <c r="B58" s="41" t="s">
        <v>2157</v>
      </c>
      <c r="C58" s="41" t="s">
        <v>2158</v>
      </c>
      <c r="D58" s="41" t="s">
        <v>2159</v>
      </c>
      <c r="E58" s="42">
        <v>58</v>
      </c>
      <c r="F58" s="3" t="s">
        <v>35</v>
      </c>
      <c r="G58" s="3" t="s">
        <v>36</v>
      </c>
      <c r="H58" s="3"/>
      <c r="I58" s="3"/>
      <c r="J58" s="3" t="s">
        <v>2005</v>
      </c>
      <c r="K58" s="3"/>
      <c r="L58" s="6"/>
      <c r="M58" s="20"/>
      <c r="O58" s="3"/>
      <c r="P58" s="3"/>
      <c r="Q58" s="3">
        <v>1</v>
      </c>
      <c r="R58" s="3"/>
      <c r="S58" s="3"/>
    </row>
    <row r="59" spans="1:19" ht="25" customHeight="1" x14ac:dyDescent="0.3">
      <c r="A59" s="3"/>
      <c r="B59" s="41" t="s">
        <v>1701</v>
      </c>
      <c r="C59" s="41" t="s">
        <v>1928</v>
      </c>
      <c r="D59" s="41" t="s">
        <v>708</v>
      </c>
      <c r="E59" s="42">
        <v>41</v>
      </c>
      <c r="F59" s="3" t="s">
        <v>35</v>
      </c>
      <c r="G59" s="3" t="s">
        <v>29</v>
      </c>
      <c r="H59" s="3"/>
      <c r="I59" s="3"/>
      <c r="J59" s="3" t="s">
        <v>2005</v>
      </c>
      <c r="K59" s="3"/>
      <c r="L59" s="6"/>
      <c r="M59" s="20"/>
      <c r="O59" s="3">
        <v>1</v>
      </c>
      <c r="P59" s="3"/>
      <c r="Q59" s="3"/>
      <c r="R59" s="3"/>
      <c r="S59" s="3"/>
    </row>
    <row r="60" spans="1:19" ht="25" customHeight="1" x14ac:dyDescent="0.3">
      <c r="A60" s="3"/>
      <c r="B60" s="3" t="s">
        <v>906</v>
      </c>
      <c r="C60" s="3" t="s">
        <v>1246</v>
      </c>
      <c r="D60" s="3" t="s">
        <v>126</v>
      </c>
      <c r="E60" s="3">
        <v>36</v>
      </c>
      <c r="F60" s="3" t="s">
        <v>35</v>
      </c>
      <c r="G60" s="3" t="s">
        <v>64</v>
      </c>
      <c r="H60" s="3"/>
      <c r="I60" s="3"/>
      <c r="J60" s="3" t="s">
        <v>923</v>
      </c>
      <c r="K60" s="3"/>
      <c r="L60" s="6"/>
      <c r="M60" s="20"/>
      <c r="O60" s="3"/>
      <c r="P60" s="3"/>
      <c r="Q60" s="3"/>
      <c r="R60" s="3">
        <v>1</v>
      </c>
      <c r="S60" s="3"/>
    </row>
    <row r="61" spans="1:19" ht="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22"/>
      <c r="K61" s="3"/>
      <c r="L61" s="6"/>
      <c r="M61" s="20"/>
      <c r="O61" s="3"/>
      <c r="P61" s="3"/>
      <c r="Q61" s="3"/>
      <c r="R61" s="3"/>
      <c r="S61" s="3"/>
    </row>
    <row r="62" spans="1:19" ht="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22"/>
      <c r="K62" s="3"/>
      <c r="L62" s="6"/>
      <c r="M62" s="5"/>
      <c r="O62" s="3"/>
      <c r="P62" s="3"/>
      <c r="Q62" s="3"/>
      <c r="R62" s="3"/>
      <c r="S62" s="3"/>
    </row>
    <row r="63" spans="1:19" ht="20.5" x14ac:dyDescent="0.3">
      <c r="H63" s="7" t="s">
        <v>55</v>
      </c>
      <c r="I63" s="10">
        <f>O63+P63+Q63+R63+S63</f>
        <v>50</v>
      </c>
      <c r="J63" s="19"/>
      <c r="K63" s="7"/>
      <c r="L63" s="9"/>
      <c r="M63" s="8"/>
      <c r="O63" s="7">
        <f>SUM(O9:O62)</f>
        <v>6</v>
      </c>
      <c r="P63" s="7">
        <f t="shared" ref="P63:S63" si="0">SUM(P9:P62)</f>
        <v>21</v>
      </c>
      <c r="Q63" s="7">
        <f t="shared" si="0"/>
        <v>19</v>
      </c>
      <c r="R63" s="7">
        <f t="shared" si="0"/>
        <v>3</v>
      </c>
      <c r="S63" s="7">
        <f t="shared" si="0"/>
        <v>1</v>
      </c>
    </row>
  </sheetData>
  <mergeCells count="6">
    <mergeCell ref="A5:I5"/>
    <mergeCell ref="A6:I6"/>
    <mergeCell ref="A7:I7"/>
    <mergeCell ref="A1:I1"/>
    <mergeCell ref="A2:I2"/>
    <mergeCell ref="A3:I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9BB7-842B-445F-8E54-E2980B4B1236}">
  <dimension ref="A3:E7"/>
  <sheetViews>
    <sheetView view="pageBreakPreview" zoomScale="175" zoomScaleNormal="100" zoomScaleSheetLayoutView="175" workbookViewId="0">
      <selection activeCell="J14" sqref="J14"/>
    </sheetView>
  </sheetViews>
  <sheetFormatPr baseColWidth="10" defaultRowHeight="14.5" x14ac:dyDescent="0.35"/>
  <sheetData>
    <row r="3" spans="1:5" ht="15.5" x14ac:dyDescent="0.35">
      <c r="A3" s="2" t="s">
        <v>29</v>
      </c>
      <c r="B3" s="2" t="s">
        <v>24</v>
      </c>
      <c r="C3" s="2" t="s">
        <v>36</v>
      </c>
      <c r="D3" s="2" t="s">
        <v>66</v>
      </c>
      <c r="E3" s="2" t="s">
        <v>65</v>
      </c>
    </row>
    <row r="5" spans="1:5" ht="23.5" x14ac:dyDescent="0.55000000000000004">
      <c r="A5" s="26">
        <f>'Atl-Fml-5-kms-1a'!O345+'Atl-Fml-5-kms-2a'!O70+'Atl-Vnl-5-kms-1a'!O277+'Atl-Vnl-5-kms-2a'!O138+'Atl-Fml-10-kms-1a'!O79+'Atl-Fml-10-kms-2a'!O21+'Atl-Vnl-10-kms-1a'!O147+'Atl-Vnl-10-kms-2a'!O63</f>
        <v>226</v>
      </c>
      <c r="B5" s="26">
        <f>'Atl-Fml-5-kms-1a'!P345+'Atl-Fml-5-kms-2a'!P70+'Atl-Vnl-5-kms-1a'!P277+'Atl-Vnl-5-kms-2a'!P138+'Atl-Fml-10-kms-1a'!P79+'Atl-Fml-10-kms-2a'!P21+'Atl-Vnl-10-kms-1a'!P147+'Atl-Vnl-10-kms-2a'!P63</f>
        <v>460</v>
      </c>
      <c r="C5" s="26">
        <f>'Atl-Fml-5-kms-1a'!Q345+'Atl-Fml-5-kms-2a'!Q70+'Atl-Vnl-5-kms-1a'!Q277+'Atl-Vnl-5-kms-2a'!Q138+'Atl-Fml-10-kms-1a'!Q79+'Atl-Fml-10-kms-2a'!Q21+'Atl-Vnl-10-kms-1a'!Q147+'Atl-Vnl-10-kms-2a'!Q63</f>
        <v>254</v>
      </c>
      <c r="D5" s="26">
        <f>'Atl-Fml-5-kms-1a'!R345+'Atl-Fml-5-kms-2a'!R70+'Atl-Vnl-5-kms-1a'!R277+'Atl-Vnl-5-kms-2a'!R138+'Atl-Fml-10-kms-1a'!R79+'Atl-Fml-10-kms-2a'!R21+'Atl-Vnl-10-kms-1a'!R147+'Atl-Vnl-10-kms-2a'!R63</f>
        <v>74</v>
      </c>
      <c r="E5" s="26">
        <f>'Atl-Fml-5-kms-1a'!S345+'Atl-Fml-5-kms-2a'!S70+'Atl-Vnl-5-kms-1a'!S277+'Atl-Vnl-5-kms-2a'!S138+'Atl-Fml-10-kms-1a'!S79+'Atl-Fml-10-kms-2a'!S21+'Atl-Vnl-10-kms-1a'!S147+'Atl-Vnl-10-kms-2a'!S63</f>
        <v>19</v>
      </c>
    </row>
    <row r="7" spans="1:5" ht="21" x14ac:dyDescent="0.5">
      <c r="A7" s="27">
        <f>A5+B5+C5+D5+E5</f>
        <v>1033</v>
      </c>
      <c r="B7" s="28" t="s">
        <v>422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Participantes</vt:lpstr>
      <vt:lpstr>Atl-Fml-5-kms-1a</vt:lpstr>
      <vt:lpstr>Atl-Fml-5-kms-2a</vt:lpstr>
      <vt:lpstr>Atl-Fml-10-kms-1a</vt:lpstr>
      <vt:lpstr>Atl-Fml-10-kms-2a</vt:lpstr>
      <vt:lpstr>Atl-Vnl-5-kms-1a</vt:lpstr>
      <vt:lpstr>Atl-Vnl-5-kms-2a</vt:lpstr>
      <vt:lpstr>Atl-Vnl-10-kms-1a</vt:lpstr>
      <vt:lpstr>Atl-Vnl-10-kms-2a</vt:lpstr>
      <vt:lpstr>R PLayeras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Torres Martinez</dc:creator>
  <cp:lastModifiedBy>Tte. Meza Aldana</cp:lastModifiedBy>
  <cp:lastPrinted>2026-10-02T23:23:10Z</cp:lastPrinted>
  <dcterms:created xsi:type="dcterms:W3CDTF">2026-09-24T16:39:53Z</dcterms:created>
  <dcterms:modified xsi:type="dcterms:W3CDTF">2026-10-02T23:31:55Z</dcterms:modified>
</cp:coreProperties>
</file>